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ayan\Documents\Hype's\Founder Office Hype\Excel Work\Revenue Forecast Model\"/>
    </mc:Choice>
  </mc:AlternateContent>
  <xr:revisionPtr revIDLastSave="0" documentId="13_ncr:1_{33AB5C53-A3E1-48D7-B16D-93ACCE7412BD}" xr6:coauthVersionLast="47" xr6:coauthVersionMax="47" xr10:uidLastSave="{00000000-0000-0000-0000-000000000000}"/>
  <bookViews>
    <workbookView xWindow="-108" yWindow="-108" windowWidth="23256" windowHeight="14616" xr2:uid="{20A8F214-9171-46FA-970C-B008E285899A}"/>
  </bookViews>
  <sheets>
    <sheet name="12 Month Revenue" sheetId="1" r:id="rId1"/>
    <sheet name="Summary" sheetId="2" r:id="rId2"/>
    <sheet name="Scenario Analysis" sheetId="5" r:id="rId3"/>
    <sheet name="Cash Runway Analysis" sheetId="4" r:id="rId4"/>
    <sheet name="About&amp;Notes" sheetId="3" r:id="rId5"/>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4" i="1" l="1"/>
  <c r="R17" i="1"/>
  <c r="R10" i="1"/>
  <c r="R8" i="1"/>
  <c r="R6" i="1"/>
  <c r="B13" i="4"/>
  <c r="C4" i="4"/>
  <c r="C43" i="1"/>
  <c r="C5" i="1"/>
  <c r="O24" i="1"/>
  <c r="O23" i="1"/>
  <c r="O25" i="1"/>
  <c r="J15" i="1"/>
  <c r="K15" i="1"/>
  <c r="L15" i="1"/>
  <c r="M15" i="1"/>
  <c r="N15" i="1"/>
  <c r="I15" i="1"/>
  <c r="D15" i="1"/>
  <c r="E15" i="1"/>
  <c r="F15" i="1"/>
  <c r="G15" i="1"/>
  <c r="H15" i="1"/>
  <c r="C15" i="1"/>
  <c r="C9" i="1"/>
  <c r="C8" i="1"/>
  <c r="C10" i="1" s="1"/>
  <c r="D9" i="1" l="1"/>
  <c r="E9" i="1" s="1"/>
  <c r="F9" i="1" s="1"/>
  <c r="G9" i="1" s="1"/>
  <c r="H9" i="1" s="1"/>
  <c r="I9" i="1" s="1"/>
  <c r="J9" i="1" s="1"/>
  <c r="K9" i="1" s="1"/>
  <c r="L9" i="1" s="1"/>
  <c r="M9" i="1" s="1"/>
  <c r="N9" i="1" s="1"/>
  <c r="O15" i="1"/>
  <c r="D8" i="1"/>
  <c r="D10" i="1" s="1"/>
  <c r="E8" i="1" l="1"/>
  <c r="E10" i="1"/>
  <c r="F8" i="1"/>
  <c r="G8" i="1" l="1"/>
  <c r="F10" i="1"/>
  <c r="H8" i="1" l="1"/>
  <c r="G10" i="1"/>
  <c r="I8" i="1" l="1"/>
  <c r="H10" i="1"/>
  <c r="J8" i="1" l="1"/>
  <c r="I10" i="1"/>
  <c r="K8" i="1" l="1"/>
  <c r="J10" i="1"/>
  <c r="C6" i="1"/>
  <c r="C12" i="1" l="1"/>
  <c r="C21" i="1"/>
  <c r="C42" i="1" s="1"/>
  <c r="C11" i="1"/>
  <c r="C7" i="1"/>
  <c r="D5" i="1"/>
  <c r="D6" i="1"/>
  <c r="D21" i="1" s="1"/>
  <c r="L8" i="1"/>
  <c r="K10" i="1"/>
  <c r="D34" i="1" l="1"/>
  <c r="C13" i="1"/>
  <c r="C34" i="1"/>
  <c r="C28" i="1"/>
  <c r="C20" i="1"/>
  <c r="C19" i="1"/>
  <c r="M8" i="1"/>
  <c r="L10" i="1"/>
  <c r="D12" i="1"/>
  <c r="D42" i="1" s="1"/>
  <c r="E6" i="1"/>
  <c r="E21" i="1" s="1"/>
  <c r="D7" i="1"/>
  <c r="D11" i="1"/>
  <c r="E5" i="1"/>
  <c r="E34" i="1" l="1"/>
  <c r="D13" i="1"/>
  <c r="C30" i="1"/>
  <c r="C29" i="1"/>
  <c r="C31" i="1" s="1"/>
  <c r="C44" i="1" s="1"/>
  <c r="C45" i="1" s="1"/>
  <c r="D28" i="1"/>
  <c r="D43" i="1" s="1"/>
  <c r="D20" i="1"/>
  <c r="D19" i="1"/>
  <c r="D30" i="1" s="1"/>
  <c r="F6" i="1"/>
  <c r="E12" i="1"/>
  <c r="E42" i="1" s="1"/>
  <c r="N8" i="1"/>
  <c r="N10" i="1" s="1"/>
  <c r="M10" i="1"/>
  <c r="F5" i="1"/>
  <c r="E11" i="1"/>
  <c r="E7" i="1"/>
  <c r="F21" i="1" l="1"/>
  <c r="C36" i="1"/>
  <c r="C32" i="1"/>
  <c r="E13" i="1"/>
  <c r="D29" i="1"/>
  <c r="D31" i="1" s="1"/>
  <c r="D44" i="1" s="1"/>
  <c r="D45" i="1" s="1"/>
  <c r="G5" i="1"/>
  <c r="F7" i="1"/>
  <c r="F11" i="1"/>
  <c r="G6" i="1"/>
  <c r="G21" i="1" s="1"/>
  <c r="F12" i="1"/>
  <c r="G34" i="1" l="1"/>
  <c r="F42" i="1"/>
  <c r="D36" i="1"/>
  <c r="D37" i="1" s="1"/>
  <c r="D39" i="1" s="1"/>
  <c r="D5" i="4" s="1"/>
  <c r="D32" i="1"/>
  <c r="F34" i="1"/>
  <c r="E19" i="1"/>
  <c r="E20" i="1"/>
  <c r="E28" i="1"/>
  <c r="E43" i="1" s="1"/>
  <c r="C37" i="1"/>
  <c r="H6" i="1"/>
  <c r="G12" i="1"/>
  <c r="G42" i="1" s="1"/>
  <c r="F13" i="1"/>
  <c r="H5" i="1"/>
  <c r="G7" i="1"/>
  <c r="G11" i="1"/>
  <c r="G13" i="1" l="1"/>
  <c r="E29" i="1"/>
  <c r="E30" i="1"/>
  <c r="C39" i="1"/>
  <c r="C5" i="4" s="1"/>
  <c r="C6" i="4" s="1"/>
  <c r="D4" i="4" s="1"/>
  <c r="D6" i="4" s="1"/>
  <c r="E4" i="4" s="1"/>
  <c r="H21" i="1"/>
  <c r="G28" i="1"/>
  <c r="G43" i="1" s="1"/>
  <c r="G20" i="1"/>
  <c r="G19" i="1"/>
  <c r="G30" i="1" s="1"/>
  <c r="F28" i="1"/>
  <c r="F43" i="1" s="1"/>
  <c r="F20" i="1"/>
  <c r="F19" i="1"/>
  <c r="I5" i="1"/>
  <c r="H7" i="1"/>
  <c r="H11" i="1"/>
  <c r="I6" i="1"/>
  <c r="I21" i="1" s="1"/>
  <c r="H12" i="1"/>
  <c r="E31" i="1" l="1"/>
  <c r="E44" i="1" s="1"/>
  <c r="E45" i="1" s="1"/>
  <c r="I34" i="1"/>
  <c r="H42" i="1"/>
  <c r="F30" i="1"/>
  <c r="E32" i="1"/>
  <c r="E36" i="1"/>
  <c r="E37" i="1" s="1"/>
  <c r="H34" i="1"/>
  <c r="F29" i="1"/>
  <c r="G29" i="1"/>
  <c r="G31" i="1" s="1"/>
  <c r="G44" i="1" s="1"/>
  <c r="G45" i="1" s="1"/>
  <c r="J6" i="1"/>
  <c r="J21" i="1" s="1"/>
  <c r="I12" i="1"/>
  <c r="I42" i="1" s="1"/>
  <c r="H13" i="1"/>
  <c r="J5" i="1"/>
  <c r="I7" i="1"/>
  <c r="I11" i="1"/>
  <c r="J34" i="1" l="1"/>
  <c r="I13" i="1"/>
  <c r="I20" i="1" s="1"/>
  <c r="E39" i="1"/>
  <c r="E5" i="4" s="1"/>
  <c r="F31" i="1"/>
  <c r="G36" i="1"/>
  <c r="G32" i="1"/>
  <c r="F32" i="1"/>
  <c r="H28" i="1"/>
  <c r="H43" i="1" s="1"/>
  <c r="H20" i="1"/>
  <c r="H19" i="1"/>
  <c r="I28" i="1"/>
  <c r="I43" i="1" s="1"/>
  <c r="K5" i="1"/>
  <c r="J7" i="1"/>
  <c r="J11" i="1"/>
  <c r="K6" i="1"/>
  <c r="K21" i="1" s="1"/>
  <c r="J12" i="1"/>
  <c r="J42" i="1" s="1"/>
  <c r="I19" i="1" l="1"/>
  <c r="I30" i="1" s="1"/>
  <c r="F36" i="1"/>
  <c r="F44" i="1"/>
  <c r="F45" i="1" s="1"/>
  <c r="E6" i="4"/>
  <c r="F4" i="4" s="1"/>
  <c r="H30" i="1"/>
  <c r="K34" i="1"/>
  <c r="F37" i="1"/>
  <c r="I29" i="1"/>
  <c r="I31" i="1" s="1"/>
  <c r="I44" i="1" s="1"/>
  <c r="I45" i="1" s="1"/>
  <c r="H29" i="1"/>
  <c r="G37" i="1"/>
  <c r="G39" i="1" s="1"/>
  <c r="G5" i="4" s="1"/>
  <c r="L6" i="1"/>
  <c r="L21" i="1" s="1"/>
  <c r="K12" i="1"/>
  <c r="K42" i="1" s="1"/>
  <c r="J13" i="1"/>
  <c r="L5" i="1"/>
  <c r="K7" i="1"/>
  <c r="K11" i="1"/>
  <c r="K13" i="1" l="1"/>
  <c r="L34" i="1"/>
  <c r="H31" i="1"/>
  <c r="F39" i="1"/>
  <c r="F5" i="4" s="1"/>
  <c r="I36" i="1"/>
  <c r="I32" i="1"/>
  <c r="J28" i="1"/>
  <c r="J43" i="1" s="1"/>
  <c r="J19" i="1"/>
  <c r="J20" i="1"/>
  <c r="K28" i="1"/>
  <c r="K43" i="1" s="1"/>
  <c r="K19" i="1"/>
  <c r="K20" i="1"/>
  <c r="M5" i="1"/>
  <c r="L7" i="1"/>
  <c r="L11" i="1"/>
  <c r="M6" i="1"/>
  <c r="M21" i="1" s="1"/>
  <c r="L12" i="1"/>
  <c r="L42" i="1" s="1"/>
  <c r="M34" i="1" l="1"/>
  <c r="H36" i="1"/>
  <c r="H44" i="1"/>
  <c r="H45" i="1" s="1"/>
  <c r="F6" i="4"/>
  <c r="G4" i="4" s="1"/>
  <c r="G6" i="4" s="1"/>
  <c r="H4" i="4" s="1"/>
  <c r="H32" i="1"/>
  <c r="K29" i="1"/>
  <c r="I37" i="1"/>
  <c r="I39" i="1" s="1"/>
  <c r="I5" i="4" s="1"/>
  <c r="J29" i="1"/>
  <c r="H37" i="1"/>
  <c r="K30" i="1"/>
  <c r="J30" i="1"/>
  <c r="L13" i="1"/>
  <c r="N6" i="1"/>
  <c r="O6" i="1" s="1"/>
  <c r="M12" i="1"/>
  <c r="M42" i="1" s="1"/>
  <c r="N5" i="1"/>
  <c r="O5" i="1" s="1"/>
  <c r="M11" i="1"/>
  <c r="M13" i="1" s="1"/>
  <c r="M7" i="1"/>
  <c r="H39" i="1" l="1"/>
  <c r="H5" i="4" s="1"/>
  <c r="J31" i="1"/>
  <c r="J32" i="1" s="1"/>
  <c r="K31" i="1"/>
  <c r="K44" i="1" s="1"/>
  <c r="K45" i="1" s="1"/>
  <c r="M28" i="1"/>
  <c r="M43" i="1" s="1"/>
  <c r="M20" i="1"/>
  <c r="M19" i="1"/>
  <c r="N12" i="1"/>
  <c r="O12" i="1" s="1"/>
  <c r="N21" i="1"/>
  <c r="L28" i="1"/>
  <c r="L43" i="1" s="1"/>
  <c r="L19" i="1"/>
  <c r="L20" i="1"/>
  <c r="N11" i="1"/>
  <c r="O11" i="1" s="1"/>
  <c r="N7" i="1"/>
  <c r="O7" i="1" s="1"/>
  <c r="B4" i="2" s="1"/>
  <c r="K32" i="1" l="1"/>
  <c r="K36" i="1"/>
  <c r="K37" i="1" s="1"/>
  <c r="K39" i="1" s="1"/>
  <c r="K5" i="4" s="1"/>
  <c r="N42" i="1"/>
  <c r="J36" i="1"/>
  <c r="J37" i="1" s="1"/>
  <c r="J44" i="1"/>
  <c r="J45" i="1" s="1"/>
  <c r="H6" i="4"/>
  <c r="I4" i="4" s="1"/>
  <c r="I6" i="4" s="1"/>
  <c r="J4" i="4" s="1"/>
  <c r="N34" i="1"/>
  <c r="O34" i="1" s="1"/>
  <c r="B9" i="2" s="1"/>
  <c r="O21" i="1"/>
  <c r="O42" i="1" s="1"/>
  <c r="B12" i="2" s="1"/>
  <c r="M30" i="1"/>
  <c r="N13" i="1"/>
  <c r="O13" i="1" s="1"/>
  <c r="B5" i="2" s="1"/>
  <c r="L29" i="1"/>
  <c r="M29" i="1"/>
  <c r="L30" i="1"/>
  <c r="M31" i="1" l="1"/>
  <c r="M44" i="1" s="1"/>
  <c r="M45" i="1" s="1"/>
  <c r="L31" i="1"/>
  <c r="L44" i="1" s="1"/>
  <c r="L45" i="1" s="1"/>
  <c r="N28" i="1"/>
  <c r="J39" i="1"/>
  <c r="J5" i="4" s="1"/>
  <c r="J6" i="4" s="1"/>
  <c r="K4" i="4" s="1"/>
  <c r="K6" i="4" s="1"/>
  <c r="L4" i="4" s="1"/>
  <c r="N20" i="1"/>
  <c r="O20" i="1" s="1"/>
  <c r="N19" i="1"/>
  <c r="O19" i="1" s="1"/>
  <c r="N29" i="1"/>
  <c r="O29" i="1" s="1"/>
  <c r="M36" i="1" l="1"/>
  <c r="M32" i="1"/>
  <c r="N30" i="1"/>
  <c r="O30" i="1" s="1"/>
  <c r="L32" i="1"/>
  <c r="L36" i="1"/>
  <c r="O28" i="1"/>
  <c r="N43" i="1"/>
  <c r="M37" i="1"/>
  <c r="M39" i="1" s="1"/>
  <c r="M5" i="4" s="1"/>
  <c r="L37" i="1"/>
  <c r="L39" i="1" s="1"/>
  <c r="L5" i="4" s="1"/>
  <c r="L6" i="4" s="1"/>
  <c r="M4" i="4" s="1"/>
  <c r="N31" i="1" l="1"/>
  <c r="M6" i="4"/>
  <c r="N4" i="4" s="1"/>
  <c r="B6" i="2"/>
  <c r="O43" i="1"/>
  <c r="B13" i="2" s="1"/>
  <c r="N36" i="1"/>
  <c r="O36" i="1" s="1"/>
  <c r="B10" i="2" s="1"/>
  <c r="O31" i="1"/>
  <c r="N44" i="1" l="1"/>
  <c r="N45" i="1" s="1"/>
  <c r="N32" i="1"/>
  <c r="O32" i="1"/>
  <c r="B8" i="2" s="1"/>
  <c r="B7" i="2"/>
  <c r="O44" i="1"/>
  <c r="N37" i="1"/>
  <c r="N39" i="1" s="1"/>
  <c r="O37" i="1" l="1"/>
  <c r="O39" i="1"/>
  <c r="B11" i="2" s="1"/>
  <c r="N5" i="4"/>
  <c r="B14" i="2"/>
  <c r="O45" i="1"/>
  <c r="B15" i="2" s="1"/>
  <c r="O5" i="4" l="1"/>
  <c r="N6" i="4"/>
  <c r="O6" i="4" l="1"/>
  <c r="B14" i="4"/>
  <c r="B15" i="4" s="1"/>
  <c r="B16" i="4" s="1"/>
  <c r="B17" i="4" s="1"/>
</calcChain>
</file>

<file path=xl/sharedStrings.xml><?xml version="1.0" encoding="utf-8"?>
<sst xmlns="http://schemas.openxmlformats.org/spreadsheetml/2006/main" count="149" uniqueCount="112">
  <si>
    <t>12 MONTH REVENUE FORECAST</t>
  </si>
  <si>
    <t>BROAD ASSUMPTIONS</t>
  </si>
  <si>
    <t>Organic Traffic – Month 1 (visitors)</t>
  </si>
  <si>
    <t>Organic Traffic – Monthly Growth Rate</t>
  </si>
  <si>
    <t>Paid Traffic – Month 1 (visitors)</t>
  </si>
  <si>
    <t>Paid Traffic – Monthly Growth Rate</t>
  </si>
  <si>
    <t>Organic Conversion Rate – Month 1</t>
  </si>
  <si>
    <t>Conversion Rate Monthly Improvement</t>
  </si>
  <si>
    <t>Paid Conversion Rate – Month 1</t>
  </si>
  <si>
    <t>Refund Rate</t>
  </si>
  <si>
    <t>Payment Processing Fee (%)</t>
  </si>
  <si>
    <t xml:space="preserve">Avg Order Value – Months 7-12 </t>
  </si>
  <si>
    <t xml:space="preserve">Avg Order Value – Months 1-6 </t>
  </si>
  <si>
    <t xml:space="preserve">Platform Fee per Order </t>
  </si>
  <si>
    <t>REVENUE ASSUMPTION</t>
  </si>
  <si>
    <t>April</t>
  </si>
  <si>
    <t>May</t>
  </si>
  <si>
    <t>June</t>
  </si>
  <si>
    <t>July</t>
  </si>
  <si>
    <t>August</t>
  </si>
  <si>
    <t>September</t>
  </si>
  <si>
    <t>October</t>
  </si>
  <si>
    <t>November</t>
  </si>
  <si>
    <t>December</t>
  </si>
  <si>
    <t>January</t>
  </si>
  <si>
    <t>February</t>
  </si>
  <si>
    <t>March</t>
  </si>
  <si>
    <t xml:space="preserve">    Organic Traffic</t>
  </si>
  <si>
    <t>Total Traffic</t>
  </si>
  <si>
    <t xml:space="preserve">    PaidTraffic</t>
  </si>
  <si>
    <t xml:space="preserve">    Organic Orders</t>
  </si>
  <si>
    <t xml:space="preserve">    Organic Conversion Rate</t>
  </si>
  <si>
    <t xml:space="preserve">    Paid Conversion Rate</t>
  </si>
  <si>
    <t>Average Conversion Rate</t>
  </si>
  <si>
    <t xml:space="preserve">    Paid Orders</t>
  </si>
  <si>
    <t>Total Orders</t>
  </si>
  <si>
    <t>Order Details</t>
  </si>
  <si>
    <t>Average Order Vaue</t>
  </si>
  <si>
    <t>INCOME STATEMENT</t>
  </si>
  <si>
    <t>Revenue</t>
  </si>
  <si>
    <t>COST ASSUMPTION</t>
  </si>
  <si>
    <t>Variable Cost</t>
  </si>
  <si>
    <t xml:space="preserve">    Payment Processing Fees</t>
  </si>
  <si>
    <t xml:space="preserve">    Platform fees per order</t>
  </si>
  <si>
    <t>Paid Traffic (Cost per paid click)</t>
  </si>
  <si>
    <t xml:space="preserve">    Paid Traffic</t>
  </si>
  <si>
    <t>Fixed Cost</t>
  </si>
  <si>
    <t xml:space="preserve">    Salaries</t>
  </si>
  <si>
    <t xml:space="preserve">    Software&amp;Subscriptions</t>
  </si>
  <si>
    <t xml:space="preserve">    Other</t>
  </si>
  <si>
    <t>Gross Profit</t>
  </si>
  <si>
    <t>Gross Profit Margin %</t>
  </si>
  <si>
    <t>EBT</t>
  </si>
  <si>
    <t xml:space="preserve">             COGS</t>
  </si>
  <si>
    <t>Less: Refund (5%)</t>
  </si>
  <si>
    <t>Less: Operating Expenses</t>
  </si>
  <si>
    <t>Less: Tax (30%)</t>
  </si>
  <si>
    <t xml:space="preserve">Tax Rate </t>
  </si>
  <si>
    <t>Profit/Loss</t>
  </si>
  <si>
    <t>Particulars</t>
  </si>
  <si>
    <t>(Month-1)</t>
  </si>
  <si>
    <t>(Month-2)</t>
  </si>
  <si>
    <t>(Month-3)</t>
  </si>
  <si>
    <t>(Month-4)</t>
  </si>
  <si>
    <t>(Month-5)</t>
  </si>
  <si>
    <t>(Month-6)</t>
  </si>
  <si>
    <t>(Month-7)</t>
  </si>
  <si>
    <t>(Month-8)</t>
  </si>
  <si>
    <t>(Month-9)</t>
  </si>
  <si>
    <t>(Month-10)</t>
  </si>
  <si>
    <t>(Month-11)</t>
  </si>
  <si>
    <t>(Month-12)</t>
  </si>
  <si>
    <t>FY</t>
  </si>
  <si>
    <t>(Total)</t>
  </si>
  <si>
    <t>Key Performance Indicator</t>
  </si>
  <si>
    <t>FY 2025 Total</t>
  </si>
  <si>
    <t>Total Visitors</t>
  </si>
  <si>
    <t>Gross Revenue</t>
  </si>
  <si>
    <t>Gross Margin %</t>
  </si>
  <si>
    <t>Total OpEx</t>
  </si>
  <si>
    <t>EBIT</t>
  </si>
  <si>
    <t>Net Income / (Loss)</t>
  </si>
  <si>
    <t>ABOUT</t>
  </si>
  <si>
    <t>Unit Economics</t>
  </si>
  <si>
    <t>Paid CAC</t>
  </si>
  <si>
    <t>Avg Revenue per Order</t>
  </si>
  <si>
    <t>Gross Profit per Order</t>
  </si>
  <si>
    <t>CAC Payback Period (months)</t>
  </si>
  <si>
    <t>NOTES</t>
  </si>
  <si>
    <t>Made By~  Mayank Bharali</t>
  </si>
  <si>
    <t>SkillMaxx  |  FY 2025 Summary Dashboard</t>
  </si>
  <si>
    <t>Initial Cap</t>
  </si>
  <si>
    <t>Cash Runway Analysis</t>
  </si>
  <si>
    <t>Opening Cash Balance</t>
  </si>
  <si>
    <t>Net Cash Flow</t>
  </si>
  <si>
    <t>Closing Cash Balance</t>
  </si>
  <si>
    <t>Runway Analysis Summary</t>
  </si>
  <si>
    <t>KPI's</t>
  </si>
  <si>
    <t>Initial Capital</t>
  </si>
  <si>
    <t>Cash Balance at FY end</t>
  </si>
  <si>
    <t>Total Cash Burned (FY)</t>
  </si>
  <si>
    <t>Avg Monthly Burn (FY)</t>
  </si>
  <si>
    <t>Runway at Current Burn Rate (months)</t>
  </si>
  <si>
    <t>Scenario Analysis| Bull/Base/Bear | FY 2025</t>
  </si>
  <si>
    <t>Headers</t>
  </si>
  <si>
    <t>Base</t>
  </si>
  <si>
    <t>Bull</t>
  </si>
  <si>
    <t>Bear</t>
  </si>
  <si>
    <t>Organic Traffic Growth Rate</t>
  </si>
  <si>
    <t>Paid Traffic Growth Rate</t>
  </si>
  <si>
    <t>Paid Traffic Cost per Click</t>
  </si>
  <si>
    <t>Scenario Toggle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</si>
</sst>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 #,##0_);[Red]\(&quot;₹&quot;\ #,##0\)"/>
    <numFmt numFmtId="8" formatCode="&quot;₹&quot;\ #,##0.00_);[Red]\(&quot;₹&quot;\ #,##0.00\)"/>
    <numFmt numFmtId="44" formatCode="_(&quot;₹&quot;\ * #,##0.00_);_(&quot;₹&quot;\ * \(#,##0.00\);_(&quot;₹&quot;\ * &quot;-&quot;??_);_(@_)"/>
    <numFmt numFmtId="164" formatCode="&quot;₹&quot;\ #,##0.00"/>
    <numFmt numFmtId="165" formatCode="#,##0;\(#,##0\);\-"/>
    <numFmt numFmtId="166" formatCode="\$#,##0;&quot;($&quot;#,##0\);\-"/>
    <numFmt numFmtId="167" formatCode="0.0%;\(0.0%\);\-"/>
  </numFmts>
  <fonts count="2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70C0"/>
      <name val="Aptos Narrow"/>
      <family val="2"/>
      <scheme val="minor"/>
    </font>
    <font>
      <sz val="8"/>
      <name val="Aptos Narrow"/>
      <family val="2"/>
      <scheme val="minor"/>
    </font>
    <font>
      <b/>
      <sz val="18"/>
      <color theme="0"/>
      <name val="Aptos Narrow"/>
      <family val="2"/>
      <scheme val="minor"/>
    </font>
    <font>
      <i/>
      <sz val="11"/>
      <color theme="0"/>
      <name val="Aptos Narrow"/>
      <family val="2"/>
      <scheme val="minor"/>
    </font>
    <font>
      <b/>
      <sz val="14"/>
      <color theme="0"/>
      <name val="Aptos Narrow"/>
      <family val="2"/>
      <scheme val="minor"/>
    </font>
    <font>
      <sz val="14"/>
      <color theme="1"/>
      <name val="Aptos Narrow"/>
      <family val="2"/>
      <scheme val="minor"/>
    </font>
    <font>
      <sz val="11"/>
      <color theme="0"/>
      <name val="Aptos Narrow"/>
      <family val="2"/>
      <scheme val="minor"/>
    </font>
    <font>
      <b/>
      <sz val="13"/>
      <color theme="0"/>
      <name val="Aptos Narrow"/>
      <family val="2"/>
      <scheme val="minor"/>
    </font>
    <font>
      <b/>
      <sz val="20"/>
      <color theme="0"/>
      <name val="Aptos Narrow"/>
      <family val="2"/>
      <scheme val="minor"/>
    </font>
    <font>
      <b/>
      <sz val="14"/>
      <color rgb="FFFFFFFF"/>
      <name val="Arial"/>
      <family val="2"/>
    </font>
    <font>
      <b/>
      <i/>
      <sz val="14"/>
      <color theme="0"/>
      <name val="Aptos Narrow"/>
      <family val="2"/>
      <scheme val="minor"/>
    </font>
    <font>
      <b/>
      <sz val="11"/>
      <color rgb="FFFFFFFF"/>
      <name val="Arial"/>
      <family val="2"/>
    </font>
    <font>
      <b/>
      <sz val="12"/>
      <color theme="0"/>
      <name val="Aptos Narrow"/>
      <family val="2"/>
      <scheme val="minor"/>
    </font>
    <font>
      <b/>
      <sz val="11"/>
      <color theme="2" tint="-0.749992370372631"/>
      <name val="Aptos Narrow"/>
      <family val="2"/>
      <scheme val="minor"/>
    </font>
    <font>
      <sz val="11"/>
      <color theme="9" tint="-0.249977111117893"/>
      <name val="Aptos Narrow"/>
      <family val="2"/>
      <scheme val="minor"/>
    </font>
    <font>
      <b/>
      <sz val="14"/>
      <color theme="1"/>
      <name val="Aptos Narrow"/>
      <family val="2"/>
      <scheme val="minor"/>
    </font>
  </fonts>
  <fills count="11">
    <fill>
      <patternFill patternType="none"/>
    </fill>
    <fill>
      <patternFill patternType="gray125"/>
    </fill>
    <fill>
      <patternFill patternType="solid">
        <fgColor theme="3" tint="0.249977111117893"/>
        <bgColor indexed="64"/>
      </patternFill>
    </fill>
    <fill>
      <patternFill patternType="solid">
        <fgColor theme="3" tint="0.749992370372631"/>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rgb="FF1F3864"/>
        <bgColor rgb="FF333399"/>
      </patternFill>
    </fill>
    <fill>
      <patternFill patternType="solid">
        <fgColor rgb="FFFFCC66"/>
        <bgColor indexed="64"/>
      </patternFill>
    </fill>
    <fill>
      <patternFill patternType="solid">
        <fgColor rgb="FFFFC000"/>
        <bgColor indexed="64"/>
      </patternFill>
    </fill>
  </fills>
  <borders count="5">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91">
    <xf numFmtId="0" fontId="0" fillId="0" borderId="0" xfId="0"/>
    <xf numFmtId="0" fontId="2" fillId="2" borderId="0" xfId="0" applyFont="1" applyFill="1" applyAlignment="1">
      <alignment horizontal="center"/>
    </xf>
    <xf numFmtId="10" fontId="0" fillId="0" borderId="0" xfId="0" applyNumberFormat="1"/>
    <xf numFmtId="164" fontId="0" fillId="0" borderId="0" xfId="0" applyNumberFormat="1"/>
    <xf numFmtId="164" fontId="4" fillId="0" borderId="0" xfId="0" applyNumberFormat="1" applyFont="1"/>
    <xf numFmtId="44" fontId="4" fillId="0" borderId="0" xfId="1" applyFont="1"/>
    <xf numFmtId="44" fontId="0" fillId="0" borderId="0" xfId="0" applyNumberFormat="1"/>
    <xf numFmtId="1" fontId="0" fillId="0" borderId="0" xfId="0" applyNumberFormat="1"/>
    <xf numFmtId="2" fontId="0" fillId="0" borderId="0" xfId="0" applyNumberFormat="1"/>
    <xf numFmtId="0" fontId="3" fillId="0" borderId="0" xfId="0" applyFont="1"/>
    <xf numFmtId="0" fontId="0" fillId="3" borderId="0" xfId="0" applyFill="1"/>
    <xf numFmtId="9" fontId="0" fillId="0" borderId="0" xfId="2" applyFont="1"/>
    <xf numFmtId="0" fontId="2" fillId="3" borderId="0" xfId="0" applyFont="1" applyFill="1"/>
    <xf numFmtId="0" fontId="3" fillId="4" borderId="0" xfId="0" applyFont="1" applyFill="1"/>
    <xf numFmtId="1" fontId="3" fillId="4" borderId="0" xfId="0" applyNumberFormat="1" applyFont="1" applyFill="1"/>
    <xf numFmtId="0" fontId="0" fillId="4" borderId="0" xfId="0" applyFill="1"/>
    <xf numFmtId="10" fontId="3" fillId="4" borderId="0" xfId="0" applyNumberFormat="1" applyFont="1" applyFill="1"/>
    <xf numFmtId="164" fontId="3" fillId="4" borderId="0" xfId="0" applyNumberFormat="1" applyFont="1" applyFill="1"/>
    <xf numFmtId="8" fontId="3" fillId="4" borderId="0" xfId="0" applyNumberFormat="1" applyFont="1" applyFill="1"/>
    <xf numFmtId="44" fontId="2" fillId="5" borderId="0" xfId="0" applyNumberFormat="1" applyFont="1" applyFill="1" applyAlignment="1">
      <alignment horizontal="center" vertical="center"/>
    </xf>
    <xf numFmtId="0" fontId="0" fillId="5" borderId="0" xfId="0" applyFill="1"/>
    <xf numFmtId="0" fontId="3" fillId="5" borderId="0" xfId="0" applyFont="1" applyFill="1"/>
    <xf numFmtId="0" fontId="0" fillId="6" borderId="0" xfId="0" applyFill="1"/>
    <xf numFmtId="0" fontId="4" fillId="6" borderId="0" xfId="0" applyFont="1" applyFill="1"/>
    <xf numFmtId="9" fontId="4" fillId="6" borderId="0" xfId="0" applyNumberFormat="1" applyFont="1" applyFill="1"/>
    <xf numFmtId="10" fontId="4" fillId="6" borderId="0" xfId="0" applyNumberFormat="1" applyFont="1" applyFill="1"/>
    <xf numFmtId="164" fontId="4" fillId="6" borderId="0" xfId="0" applyNumberFormat="1" applyFont="1" applyFill="1"/>
    <xf numFmtId="44" fontId="4" fillId="6" borderId="0" xfId="1" applyFont="1" applyFill="1"/>
    <xf numFmtId="9" fontId="4" fillId="6" borderId="0" xfId="1" applyNumberFormat="1" applyFont="1" applyFill="1"/>
    <xf numFmtId="0" fontId="2" fillId="5" borderId="0" xfId="0" applyFont="1" applyFill="1" applyAlignment="1">
      <alignment horizontal="center" vertical="center"/>
    </xf>
    <xf numFmtId="44" fontId="7" fillId="5" borderId="0" xfId="0" applyNumberFormat="1" applyFont="1" applyFill="1" applyAlignment="1">
      <alignment horizontal="center"/>
    </xf>
    <xf numFmtId="0" fontId="7" fillId="5" borderId="0" xfId="0" applyFont="1" applyFill="1" applyAlignment="1">
      <alignment horizontal="center" vertical="center"/>
    </xf>
    <xf numFmtId="1" fontId="0" fillId="0" borderId="1" xfId="0" applyNumberFormat="1" applyBorder="1"/>
    <xf numFmtId="1" fontId="3" fillId="4" borderId="1" xfId="0" applyNumberFormat="1" applyFont="1" applyFill="1" applyBorder="1"/>
    <xf numFmtId="10" fontId="0" fillId="0" borderId="1" xfId="0" applyNumberFormat="1" applyBorder="1"/>
    <xf numFmtId="10" fontId="3" fillId="4" borderId="1" xfId="0" applyNumberFormat="1" applyFont="1" applyFill="1" applyBorder="1"/>
    <xf numFmtId="0" fontId="0" fillId="0" borderId="1" xfId="0" applyBorder="1"/>
    <xf numFmtId="164" fontId="0" fillId="0" borderId="1" xfId="0" applyNumberFormat="1" applyBorder="1"/>
    <xf numFmtId="44" fontId="0" fillId="0" borderId="1" xfId="0" applyNumberFormat="1" applyBorder="1"/>
    <xf numFmtId="164" fontId="3" fillId="4" borderId="1" xfId="0" applyNumberFormat="1" applyFont="1" applyFill="1" applyBorder="1"/>
    <xf numFmtId="9" fontId="0" fillId="0" borderId="1" xfId="2" applyFont="1" applyBorder="1"/>
    <xf numFmtId="8" fontId="3" fillId="4" borderId="1" xfId="0" applyNumberFormat="1" applyFont="1" applyFill="1" applyBorder="1"/>
    <xf numFmtId="164" fontId="3" fillId="7" borderId="0" xfId="0" applyNumberFormat="1" applyFont="1" applyFill="1"/>
    <xf numFmtId="8" fontId="3" fillId="7" borderId="0" xfId="0" applyNumberFormat="1" applyFont="1" applyFill="1"/>
    <xf numFmtId="1" fontId="3" fillId="7" borderId="0" xfId="0" applyNumberFormat="1" applyFont="1" applyFill="1"/>
    <xf numFmtId="1" fontId="0" fillId="3" borderId="0" xfId="0" applyNumberFormat="1" applyFill="1"/>
    <xf numFmtId="0" fontId="3" fillId="4" borderId="2" xfId="0" applyFont="1" applyFill="1" applyBorder="1"/>
    <xf numFmtId="0" fontId="3" fillId="4" borderId="3" xfId="0" applyFont="1" applyFill="1" applyBorder="1"/>
    <xf numFmtId="8" fontId="3" fillId="4" borderId="3" xfId="0" applyNumberFormat="1" applyFont="1" applyFill="1" applyBorder="1"/>
    <xf numFmtId="8" fontId="3" fillId="4" borderId="4" xfId="0" applyNumberFormat="1" applyFont="1" applyFill="1" applyBorder="1"/>
    <xf numFmtId="8" fontId="3" fillId="7" borderId="4" xfId="0" applyNumberFormat="1" applyFont="1" applyFill="1" applyBorder="1"/>
    <xf numFmtId="0" fontId="2" fillId="0" borderId="0" xfId="0" applyFont="1"/>
    <xf numFmtId="0" fontId="2" fillId="0" borderId="0" xfId="0" applyFont="1" applyAlignment="1">
      <alignment horizontal="center"/>
    </xf>
    <xf numFmtId="165" fontId="0" fillId="3" borderId="0" xfId="0" applyNumberFormat="1" applyFill="1"/>
    <xf numFmtId="164" fontId="0" fillId="3" borderId="0" xfId="0" applyNumberFormat="1" applyFill="1"/>
    <xf numFmtId="167" fontId="0" fillId="3" borderId="0" xfId="0" applyNumberFormat="1" applyFill="1"/>
    <xf numFmtId="8" fontId="0" fillId="3" borderId="0" xfId="0" applyNumberFormat="1" applyFill="1"/>
    <xf numFmtId="165" fontId="0" fillId="0" borderId="0" xfId="0" applyNumberFormat="1"/>
    <xf numFmtId="166" fontId="0" fillId="0" borderId="0" xfId="0" applyNumberFormat="1"/>
    <xf numFmtId="167" fontId="0" fillId="0" borderId="0" xfId="0" applyNumberFormat="1"/>
    <xf numFmtId="0" fontId="13" fillId="0" borderId="0" xfId="0" applyFont="1" applyAlignment="1">
      <alignment horizontal="center" vertical="center"/>
    </xf>
    <xf numFmtId="0" fontId="2" fillId="2" borderId="1" xfId="0" applyFont="1" applyFill="1" applyBorder="1" applyAlignment="1">
      <alignment horizontal="center"/>
    </xf>
    <xf numFmtId="0" fontId="0" fillId="3" borderId="1" xfId="0" applyFill="1" applyBorder="1"/>
    <xf numFmtId="8" fontId="0" fillId="0" borderId="0" xfId="0" applyNumberFormat="1"/>
    <xf numFmtId="164" fontId="4" fillId="6" borderId="0" xfId="1" applyNumberFormat="1" applyFont="1" applyFill="1"/>
    <xf numFmtId="0" fontId="15" fillId="8" borderId="0" xfId="0" applyFont="1" applyFill="1" applyAlignment="1">
      <alignment vertical="center"/>
    </xf>
    <xf numFmtId="0" fontId="15" fillId="0" borderId="0" xfId="0" applyFont="1" applyAlignment="1">
      <alignment vertical="center"/>
    </xf>
    <xf numFmtId="0" fontId="16" fillId="5" borderId="0" xfId="0" applyFont="1" applyFill="1" applyAlignment="1">
      <alignment horizontal="center" vertical="center"/>
    </xf>
    <xf numFmtId="0" fontId="2" fillId="0" borderId="0" xfId="0" applyFont="1" applyAlignment="1">
      <alignment horizontal="center" vertical="center"/>
    </xf>
    <xf numFmtId="44" fontId="2" fillId="0" borderId="0" xfId="0" applyNumberFormat="1" applyFont="1" applyAlignment="1">
      <alignment horizontal="center" vertical="center"/>
    </xf>
    <xf numFmtId="0" fontId="6" fillId="0" borderId="0" xfId="0" applyFont="1" applyAlignment="1">
      <alignment vertical="center"/>
    </xf>
    <xf numFmtId="0" fontId="0" fillId="6" borderId="0" xfId="0" applyFill="1" applyAlignment="1">
      <alignment vertical="center" wrapText="1"/>
    </xf>
    <xf numFmtId="9" fontId="4" fillId="6" borderId="0" xfId="0" applyNumberFormat="1" applyFont="1" applyFill="1" applyAlignment="1">
      <alignment horizontal="center" vertical="center" wrapText="1"/>
    </xf>
    <xf numFmtId="10" fontId="4" fillId="6" borderId="0" xfId="0" applyNumberFormat="1" applyFont="1" applyFill="1" applyAlignment="1">
      <alignment horizontal="center" vertical="center" wrapText="1"/>
    </xf>
    <xf numFmtId="6" fontId="4" fillId="6" borderId="0" xfId="0" applyNumberFormat="1" applyFont="1" applyFill="1" applyAlignment="1">
      <alignment horizontal="center" vertical="center" wrapText="1"/>
    </xf>
    <xf numFmtId="0" fontId="17" fillId="9" borderId="0" xfId="0" applyFont="1" applyFill="1" applyAlignment="1">
      <alignment vertical="center" wrapText="1"/>
    </xf>
    <xf numFmtId="9" fontId="18" fillId="6" borderId="0" xfId="0" applyNumberFormat="1" applyFont="1" applyFill="1"/>
    <xf numFmtId="10" fontId="18" fillId="6" borderId="0" xfId="0" applyNumberFormat="1" applyFont="1" applyFill="1"/>
    <xf numFmtId="44" fontId="18" fillId="6" borderId="0" xfId="1" applyFont="1" applyFill="1"/>
    <xf numFmtId="0" fontId="19" fillId="10" borderId="0" xfId="0" applyFont="1" applyFill="1" applyAlignment="1">
      <alignment vertical="center" wrapText="1"/>
    </xf>
    <xf numFmtId="0" fontId="17" fillId="0" borderId="0" xfId="0" applyFont="1" applyAlignment="1">
      <alignment vertical="center" wrapText="1"/>
    </xf>
    <xf numFmtId="0" fontId="6" fillId="2" borderId="0" xfId="0" applyFont="1" applyFill="1" applyAlignment="1">
      <alignment horizontal="center" vertical="center"/>
    </xf>
    <xf numFmtId="0" fontId="8" fillId="2" borderId="0" xfId="0" applyFont="1" applyFill="1" applyAlignment="1">
      <alignment horizontal="center"/>
    </xf>
    <xf numFmtId="0" fontId="9" fillId="2" borderId="0" xfId="0" applyFont="1" applyFill="1" applyAlignment="1">
      <alignment horizontal="center"/>
    </xf>
    <xf numFmtId="0" fontId="2" fillId="5" borderId="0" xfId="0" applyFont="1" applyFill="1" applyAlignment="1">
      <alignment horizontal="center" vertical="center"/>
    </xf>
    <xf numFmtId="0" fontId="11" fillId="2" borderId="0" xfId="0" applyFont="1" applyFill="1" applyAlignment="1">
      <alignment horizontal="center"/>
    </xf>
    <xf numFmtId="0" fontId="13" fillId="8" borderId="0" xfId="0" applyFont="1" applyFill="1" applyAlignment="1">
      <alignment horizontal="center" vertical="center"/>
    </xf>
    <xf numFmtId="0" fontId="15" fillId="8" borderId="0" xfId="0" applyFont="1" applyFill="1" applyAlignment="1">
      <alignment horizontal="center" vertical="center"/>
    </xf>
    <xf numFmtId="0" fontId="12" fillId="2" borderId="0" xfId="0" applyFont="1" applyFill="1" applyAlignment="1">
      <alignment horizontal="center"/>
    </xf>
    <xf numFmtId="0" fontId="10" fillId="2" borderId="0" xfId="0" applyFont="1" applyFill="1" applyAlignment="1">
      <alignment horizontal="center"/>
    </xf>
    <xf numFmtId="0" fontId="14" fillId="2" borderId="0" xfId="0" applyFont="1" applyFill="1" applyAlignment="1">
      <alignment horizontal="left"/>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vs Total OpEx (monthly)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manualLayout>
          <c:layoutTarget val="inner"/>
          <c:xMode val="edge"/>
          <c:yMode val="edge"/>
          <c:x val="0.18209470691163604"/>
          <c:y val="0.17171296296296298"/>
          <c:w val="0.79012751531058623"/>
          <c:h val="0.6153546952464275"/>
        </c:manualLayout>
      </c:layout>
      <c:barChart>
        <c:barDir val="col"/>
        <c:grouping val="clustered"/>
        <c:varyColors val="0"/>
        <c:ser>
          <c:idx val="0"/>
          <c:order val="0"/>
          <c:tx>
            <c:v>Revenue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'12 Month Revenue'!$C$28:$N$28</c:f>
              <c:numCache>
                <c:formatCode>"₹"\ #,##0.00</c:formatCode>
                <c:ptCount val="12"/>
                <c:pt idx="0">
                  <c:v>38974</c:v>
                </c:pt>
                <c:pt idx="1">
                  <c:v>46469</c:v>
                </c:pt>
                <c:pt idx="2">
                  <c:v>53964</c:v>
                </c:pt>
                <c:pt idx="3">
                  <c:v>62958</c:v>
                </c:pt>
                <c:pt idx="4">
                  <c:v>74950</c:v>
                </c:pt>
                <c:pt idx="5">
                  <c:v>86942</c:v>
                </c:pt>
                <c:pt idx="6">
                  <c:v>203932</c:v>
                </c:pt>
                <c:pt idx="7">
                  <c:v>239920</c:v>
                </c:pt>
                <c:pt idx="8">
                  <c:v>278907</c:v>
                </c:pt>
                <c:pt idx="9">
                  <c:v>329890</c:v>
                </c:pt>
                <c:pt idx="10">
                  <c:v>389870</c:v>
                </c:pt>
                <c:pt idx="11">
                  <c:v>455848</c:v>
                </c:pt>
              </c:numCache>
            </c:numRef>
          </c:val>
          <c:extLst>
            <c:ext xmlns:c16="http://schemas.microsoft.com/office/drawing/2014/chart" uri="{C3380CC4-5D6E-409C-BE32-E72D297353CC}">
              <c16:uniqueId val="{00000000-7286-4C0A-B48F-9BB97F8A8FB6}"/>
            </c:ext>
          </c:extLst>
        </c:ser>
        <c:ser>
          <c:idx val="1"/>
          <c:order val="1"/>
          <c:tx>
            <c:v>OpEx</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'12 Month Revenue'!$C$34:$N$34</c:f>
              <c:numCache>
                <c:formatCode>_("₹"* #,##0.00_);_("₹"* \(#,##0.00\);_("₹"* "-"??_);_(@_)</c:formatCode>
                <c:ptCount val="12"/>
                <c:pt idx="0">
                  <c:v>162000</c:v>
                </c:pt>
                <c:pt idx="1">
                  <c:v>163440</c:v>
                </c:pt>
                <c:pt idx="2">
                  <c:v>165052.80000000002</c:v>
                </c:pt>
                <c:pt idx="3">
                  <c:v>166859.136</c:v>
                </c:pt>
                <c:pt idx="4">
                  <c:v>168882.23232000001</c:v>
                </c:pt>
                <c:pt idx="5">
                  <c:v>171148.1001984</c:v>
                </c:pt>
                <c:pt idx="6">
                  <c:v>208685.87222220801</c:v>
                </c:pt>
                <c:pt idx="7">
                  <c:v>211528.17688887299</c:v>
                </c:pt>
                <c:pt idx="8">
                  <c:v>214711.55811553774</c:v>
                </c:pt>
                <c:pt idx="9">
                  <c:v>218276.94508940226</c:v>
                </c:pt>
                <c:pt idx="10">
                  <c:v>222270.17850013054</c:v>
                </c:pt>
                <c:pt idx="11">
                  <c:v>226742.59992014623</c:v>
                </c:pt>
              </c:numCache>
            </c:numRef>
          </c:val>
          <c:extLst>
            <c:ext xmlns:c16="http://schemas.microsoft.com/office/drawing/2014/chart" uri="{C3380CC4-5D6E-409C-BE32-E72D297353CC}">
              <c16:uniqueId val="{00000001-7286-4C0A-B48F-9BB97F8A8FB6}"/>
            </c:ext>
          </c:extLst>
        </c:ser>
        <c:dLbls>
          <c:showLegendKey val="0"/>
          <c:showVal val="0"/>
          <c:showCatName val="0"/>
          <c:showSerName val="0"/>
          <c:showPercent val="0"/>
          <c:showBubbleSize val="0"/>
        </c:dLbls>
        <c:gapWidth val="100"/>
        <c:overlap val="-24"/>
        <c:axId val="1266457504"/>
        <c:axId val="1888868480"/>
      </c:barChart>
      <c:catAx>
        <c:axId val="1266457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868480"/>
        <c:crosses val="autoZero"/>
        <c:auto val="1"/>
        <c:lblAlgn val="ctr"/>
        <c:lblOffset val="100"/>
        <c:noMultiLvlLbl val="0"/>
      </c:catAx>
      <c:valAx>
        <c:axId val="188886848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645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'12 Month Revenue'!$A$39</c:f>
              <c:strCache>
                <c:ptCount val="1"/>
                <c:pt idx="0">
                  <c:v>Profit/Loss</c:v>
                </c:pt>
              </c:strCache>
            </c:strRef>
          </c:tx>
          <c:spPr>
            <a:ln w="34925" cap="rnd">
              <a:solidFill>
                <a:schemeClr val="lt1"/>
              </a:solidFill>
              <a:round/>
            </a:ln>
            <a:effectLst>
              <a:outerShdw dist="25400" dir="2700000" algn="tl" rotWithShape="0">
                <a:schemeClr val="accent1"/>
              </a:outerShdw>
            </a:effectLst>
          </c:spPr>
          <c:marker>
            <c:symbol val="none"/>
          </c:marker>
          <c:val>
            <c:numRef>
              <c:f>'12 Month Revenue'!$B$39:$N$39</c:f>
              <c:numCache>
                <c:formatCode>"₹"#,##0.00_);[Red]\("₹"#,##0.00\)</c:formatCode>
                <c:ptCount val="13"/>
                <c:pt idx="1">
                  <c:v>-130043.92</c:v>
                </c:pt>
                <c:pt idx="2">
                  <c:v>-125338.51999999999</c:v>
                </c:pt>
                <c:pt idx="3">
                  <c:v>-120805.92000000001</c:v>
                </c:pt>
                <c:pt idx="4">
                  <c:v>-115237.776</c:v>
                </c:pt>
                <c:pt idx="5">
                  <c:v>-107428.23232000001</c:v>
                </c:pt>
                <c:pt idx="6">
                  <c:v>-99861.460198400004</c:v>
                </c:pt>
                <c:pt idx="7">
                  <c:v>-31268.432222208008</c:v>
                </c:pt>
                <c:pt idx="8">
                  <c:v>-2801.7768888729915</c:v>
                </c:pt>
                <c:pt idx="9">
                  <c:v>19553.017319123603</c:v>
                </c:pt>
                <c:pt idx="10">
                  <c:v>48105.298437418416</c:v>
                </c:pt>
                <c:pt idx="11">
                  <c:v>81837.155049908644</c:v>
                </c:pt>
                <c:pt idx="12">
                  <c:v>118886.29205589762</c:v>
                </c:pt>
              </c:numCache>
            </c:numRef>
          </c:val>
          <c:smooth val="0"/>
          <c:extLst>
            <c:ext xmlns:c16="http://schemas.microsoft.com/office/drawing/2014/chart" uri="{C3380CC4-5D6E-409C-BE32-E72D297353CC}">
              <c16:uniqueId val="{00000000-7322-453D-8857-54A4DAD2DD9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261575136"/>
        <c:axId val="1261578496"/>
      </c:lineChart>
      <c:catAx>
        <c:axId val="126157513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61578496"/>
        <c:crosses val="autoZero"/>
        <c:auto val="1"/>
        <c:lblAlgn val="ctr"/>
        <c:lblOffset val="100"/>
        <c:noMultiLvlLbl val="0"/>
      </c:catAx>
      <c:valAx>
        <c:axId val="126157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1575136"/>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Closing Cash Balance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lineChart>
        <c:grouping val="standard"/>
        <c:varyColors val="0"/>
        <c:ser>
          <c:idx val="0"/>
          <c:order val="0"/>
          <c:tx>
            <c:strRef>
              <c:f>'Cash Runway Analysis'!$A$6</c:f>
              <c:strCache>
                <c:ptCount val="1"/>
                <c:pt idx="0">
                  <c:v>Closing Cash Balance</c:v>
                </c:pt>
              </c:strCache>
            </c:strRef>
          </c:tx>
          <c:spPr>
            <a:ln w="34925" cap="rnd">
              <a:solidFill>
                <a:schemeClr val="lt1"/>
              </a:solidFill>
              <a:round/>
            </a:ln>
            <a:effectLst>
              <a:outerShdw dist="25400" dir="2700000" algn="tl" rotWithShape="0">
                <a:schemeClr val="accent1"/>
              </a:outerShdw>
            </a:effectLst>
          </c:spPr>
          <c:marker>
            <c:symbol val="none"/>
          </c:marker>
          <c:val>
            <c:numRef>
              <c:f>'Cash Runway Analysis'!$B$6:$O$6</c:f>
              <c:numCache>
                <c:formatCode>"₹"#,##0.00_);[Red]\("₹"#,##0.00\)</c:formatCode>
                <c:ptCount val="14"/>
                <c:pt idx="1">
                  <c:v>4869956.08</c:v>
                </c:pt>
                <c:pt idx="2">
                  <c:v>4744617.5600000005</c:v>
                </c:pt>
                <c:pt idx="3">
                  <c:v>4623811.6400000006</c:v>
                </c:pt>
                <c:pt idx="4">
                  <c:v>4508573.864000001</c:v>
                </c:pt>
                <c:pt idx="5">
                  <c:v>4401145.6316800006</c:v>
                </c:pt>
                <c:pt idx="6">
                  <c:v>4301284.171481601</c:v>
                </c:pt>
                <c:pt idx="7">
                  <c:v>4270015.739259393</c:v>
                </c:pt>
                <c:pt idx="8">
                  <c:v>4267213.9623705195</c:v>
                </c:pt>
                <c:pt idx="9">
                  <c:v>4286766.9796896428</c:v>
                </c:pt>
                <c:pt idx="10">
                  <c:v>4334872.2781270612</c:v>
                </c:pt>
                <c:pt idx="11">
                  <c:v>4416709.4331769701</c:v>
                </c:pt>
                <c:pt idx="12">
                  <c:v>4535595.7252328675</c:v>
                </c:pt>
                <c:pt idx="13">
                  <c:v>4535595.7252328675</c:v>
                </c:pt>
              </c:numCache>
            </c:numRef>
          </c:val>
          <c:smooth val="0"/>
          <c:extLst>
            <c:ext xmlns:c16="http://schemas.microsoft.com/office/drawing/2014/chart" uri="{C3380CC4-5D6E-409C-BE32-E72D297353CC}">
              <c16:uniqueId val="{00000000-DEB0-4A95-9569-1C46C31ABB1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010790448"/>
        <c:axId val="1010794288"/>
      </c:lineChart>
      <c:catAx>
        <c:axId val="1010790448"/>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10794288"/>
        <c:crosses val="autoZero"/>
        <c:auto val="1"/>
        <c:lblAlgn val="ctr"/>
        <c:lblOffset val="100"/>
        <c:noMultiLvlLbl val="0"/>
      </c:catAx>
      <c:valAx>
        <c:axId val="1010794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10790448"/>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22860</xdr:colOff>
      <xdr:row>16</xdr:row>
      <xdr:rowOff>22860</xdr:rowOff>
    </xdr:from>
    <xdr:to>
      <xdr:col>2</xdr:col>
      <xdr:colOff>472440</xdr:colOff>
      <xdr:row>31</xdr:row>
      <xdr:rowOff>22860</xdr:rowOff>
    </xdr:to>
    <xdr:graphicFrame macro="">
      <xdr:nvGraphicFramePr>
        <xdr:cNvPr id="2" name="Chart 1">
          <a:extLst>
            <a:ext uri="{FF2B5EF4-FFF2-40B4-BE49-F238E27FC236}">
              <a16:creationId xmlns:a16="http://schemas.microsoft.com/office/drawing/2014/main" id="{FE4323B4-743E-4995-A36B-8B350C163F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16</xdr:row>
      <xdr:rowOff>0</xdr:rowOff>
    </xdr:from>
    <xdr:to>
      <xdr:col>10</xdr:col>
      <xdr:colOff>167640</xdr:colOff>
      <xdr:row>31</xdr:row>
      <xdr:rowOff>0</xdr:rowOff>
    </xdr:to>
    <xdr:graphicFrame macro="">
      <xdr:nvGraphicFramePr>
        <xdr:cNvPr id="3" name="Chart 2">
          <a:extLst>
            <a:ext uri="{FF2B5EF4-FFF2-40B4-BE49-F238E27FC236}">
              <a16:creationId xmlns:a16="http://schemas.microsoft.com/office/drawing/2014/main" id="{4F92B357-0B67-4535-A976-24233323E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800100</xdr:colOff>
      <xdr:row>8</xdr:row>
      <xdr:rowOff>125730</xdr:rowOff>
    </xdr:from>
    <xdr:to>
      <xdr:col>8</xdr:col>
      <xdr:colOff>662940</xdr:colOff>
      <xdr:row>23</xdr:row>
      <xdr:rowOff>125730</xdr:rowOff>
    </xdr:to>
    <xdr:graphicFrame macro="">
      <xdr:nvGraphicFramePr>
        <xdr:cNvPr id="2" name="Chart 1">
          <a:extLst>
            <a:ext uri="{FF2B5EF4-FFF2-40B4-BE49-F238E27FC236}">
              <a16:creationId xmlns:a16="http://schemas.microsoft.com/office/drawing/2014/main" id="{A273216F-B719-213B-00D5-77B445479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46181</xdr:colOff>
      <xdr:row>13</xdr:row>
      <xdr:rowOff>53879</xdr:rowOff>
    </xdr:from>
    <xdr:to>
      <xdr:col>8</xdr:col>
      <xdr:colOff>277090</xdr:colOff>
      <xdr:row>16</xdr:row>
      <xdr:rowOff>84668</xdr:rowOff>
    </xdr:to>
    <xdr:sp macro="" textlink="">
      <xdr:nvSpPr>
        <xdr:cNvPr id="3" name="TextBox 2">
          <a:extLst>
            <a:ext uri="{FF2B5EF4-FFF2-40B4-BE49-F238E27FC236}">
              <a16:creationId xmlns:a16="http://schemas.microsoft.com/office/drawing/2014/main" id="{53363C6A-0C26-A5DC-BDA4-342B6A8A747E}"/>
            </a:ext>
          </a:extLst>
        </xdr:cNvPr>
        <xdr:cNvSpPr txBox="1"/>
      </xdr:nvSpPr>
      <xdr:spPr>
        <a:xfrm>
          <a:off x="4910666" y="2455334"/>
          <a:ext cx="230909" cy="584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45720</xdr:colOff>
      <xdr:row>2</xdr:row>
      <xdr:rowOff>0</xdr:rowOff>
    </xdr:from>
    <xdr:to>
      <xdr:col>9</xdr:col>
      <xdr:colOff>600364</xdr:colOff>
      <xdr:row>7</xdr:row>
      <xdr:rowOff>15394</xdr:rowOff>
    </xdr:to>
    <xdr:sp macro="" textlink="">
      <xdr:nvSpPr>
        <xdr:cNvPr id="2" name="TextBox 1">
          <a:extLst>
            <a:ext uri="{FF2B5EF4-FFF2-40B4-BE49-F238E27FC236}">
              <a16:creationId xmlns:a16="http://schemas.microsoft.com/office/drawing/2014/main" id="{2789D788-1EA4-A59A-739E-0A2ABCD7D3B0}"/>
            </a:ext>
          </a:extLst>
        </xdr:cNvPr>
        <xdr:cNvSpPr txBox="1"/>
      </xdr:nvSpPr>
      <xdr:spPr>
        <a:xfrm>
          <a:off x="45720" y="369455"/>
          <a:ext cx="6027189" cy="9390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An</a:t>
          </a:r>
          <a:r>
            <a:rPr lang="en-IN" sz="1100" baseline="0"/>
            <a:t> Assumed Fictional Company is taken to create this "12 Month Revenue Forecast Model". The Company's name is "SkillMaxx" (fictional) and it is assumed to sell Online Courses, templates and mentoring sessions in the form of Digital Product bundles. The assumed company is bootstrapped and is in its first fiscal year with an initial capital of 50 lacs. The company consists of 3-6 members.</a:t>
          </a:r>
          <a:br>
            <a:rPr lang="en-IN" sz="1100" baseline="0"/>
          </a:br>
          <a:br>
            <a:rPr lang="en-IN" sz="1100" baseline="0"/>
          </a:br>
          <a:endParaRPr lang="en-IN" sz="1100"/>
        </a:p>
      </xdr:txBody>
    </xdr:sp>
    <xdr:clientData/>
  </xdr:twoCellAnchor>
  <xdr:twoCellAnchor>
    <xdr:from>
      <xdr:col>0</xdr:col>
      <xdr:colOff>30788</xdr:colOff>
      <xdr:row>10</xdr:row>
      <xdr:rowOff>23090</xdr:rowOff>
    </xdr:from>
    <xdr:to>
      <xdr:col>10</xdr:col>
      <xdr:colOff>7697</xdr:colOff>
      <xdr:row>26</xdr:row>
      <xdr:rowOff>0</xdr:rowOff>
    </xdr:to>
    <xdr:sp macro="" textlink="">
      <xdr:nvSpPr>
        <xdr:cNvPr id="4" name="TextBox 3">
          <a:extLst>
            <a:ext uri="{FF2B5EF4-FFF2-40B4-BE49-F238E27FC236}">
              <a16:creationId xmlns:a16="http://schemas.microsoft.com/office/drawing/2014/main" id="{307BE90A-56AD-D6B3-58ED-6BFF0562FEA5}"/>
            </a:ext>
          </a:extLst>
        </xdr:cNvPr>
        <xdr:cNvSpPr txBox="1"/>
      </xdr:nvSpPr>
      <xdr:spPr>
        <a:xfrm>
          <a:off x="30788" y="1870363"/>
          <a:ext cx="6057515" cy="29325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dk1"/>
              </a:solidFill>
              <a:effectLst/>
              <a:latin typeface="+mn-lt"/>
              <a:ea typeface="+mn-ea"/>
              <a:cs typeface="+mn-cs"/>
            </a:rPr>
            <a:t>In the 12 Month Revenue Forecast Model, all the inputs colorcoded in blue represents hardcoded inputs, which is an assumption for the company. The inputs which are colorcoded as black is formula based inputs.</a:t>
          </a:r>
          <a:br>
            <a:rPr lang="en-IN" sz="1100" baseline="0">
              <a:solidFill>
                <a:schemeClr val="dk1"/>
              </a:solidFill>
              <a:effectLst/>
              <a:latin typeface="+mn-lt"/>
              <a:ea typeface="+mn-ea"/>
              <a:cs typeface="+mn-cs"/>
            </a:rPr>
          </a:br>
          <a:br>
            <a:rPr lang="en-IN" sz="1100" baseline="0">
              <a:solidFill>
                <a:schemeClr val="dk1"/>
              </a:solidFill>
              <a:effectLst/>
              <a:latin typeface="+mn-lt"/>
              <a:ea typeface="+mn-ea"/>
              <a:cs typeface="+mn-cs"/>
            </a:rPr>
          </a:br>
          <a:r>
            <a:rPr lang="en-IN" sz="1100" baseline="0">
              <a:solidFill>
                <a:schemeClr val="dk1"/>
              </a:solidFill>
              <a:effectLst/>
              <a:latin typeface="+mn-lt"/>
              <a:ea typeface="+mn-ea"/>
              <a:cs typeface="+mn-cs"/>
            </a:rPr>
            <a:t>The Assumed inputs is taken in such a manner that it makes sense for a Compay similar to SkillMaxx at the provided stage and timeline.</a:t>
          </a:r>
          <a:br>
            <a:rPr lang="en-IN" sz="1100" baseline="0">
              <a:solidFill>
                <a:schemeClr val="dk1"/>
              </a:solidFill>
              <a:effectLst/>
              <a:latin typeface="+mn-lt"/>
              <a:ea typeface="+mn-ea"/>
              <a:cs typeface="+mn-cs"/>
            </a:rPr>
          </a:br>
          <a:br>
            <a:rPr lang="en-IN" sz="1100" baseline="0">
              <a:solidFill>
                <a:schemeClr val="dk1"/>
              </a:solidFill>
              <a:effectLst/>
              <a:latin typeface="+mn-lt"/>
              <a:ea typeface="+mn-ea"/>
              <a:cs typeface="+mn-cs"/>
            </a:rPr>
          </a:br>
          <a:r>
            <a:rPr lang="en-IN" sz="1100" baseline="0">
              <a:solidFill>
                <a:schemeClr val="dk1"/>
              </a:solidFill>
              <a:effectLst/>
              <a:latin typeface="+mn-lt"/>
              <a:ea typeface="+mn-ea"/>
              <a:cs typeface="+mn-cs"/>
            </a:rPr>
            <a:t>While Calculating Paid CAC / Blended CAC we are only taking "Paid Traffic cost", assuming no salaries were provided for Marketing and Sales Purpose.</a:t>
          </a:r>
          <a:br>
            <a:rPr lang="en-IN" sz="1100" baseline="0">
              <a:solidFill>
                <a:schemeClr val="dk1"/>
              </a:solidFill>
              <a:effectLst/>
              <a:latin typeface="+mn-lt"/>
              <a:ea typeface="+mn-ea"/>
              <a:cs typeface="+mn-cs"/>
            </a:rPr>
          </a:br>
          <a:br>
            <a:rPr lang="en-IN" sz="1100" baseline="0">
              <a:solidFill>
                <a:schemeClr val="dk1"/>
              </a:solidFill>
              <a:effectLst/>
              <a:latin typeface="+mn-lt"/>
              <a:ea typeface="+mn-ea"/>
              <a:cs typeface="+mn-cs"/>
            </a:rPr>
          </a:br>
          <a:r>
            <a:rPr lang="en-IN" sz="1100" baseline="0">
              <a:solidFill>
                <a:schemeClr val="dk1"/>
              </a:solidFill>
              <a:effectLst/>
              <a:latin typeface="+mn-lt"/>
              <a:ea typeface="+mn-ea"/>
              <a:cs typeface="+mn-cs"/>
            </a:rPr>
            <a:t>For Scenario analysis we have taken 5 key drivers (</a:t>
          </a:r>
          <a:r>
            <a:rPr lang="en-IN" sz="1100" b="0" i="0" u="none" strike="noStrike">
              <a:solidFill>
                <a:schemeClr val="dk1"/>
              </a:solidFill>
              <a:effectLst/>
              <a:latin typeface="+mn-lt"/>
              <a:ea typeface="+mn-ea"/>
              <a:cs typeface="+mn-cs"/>
            </a:rPr>
            <a:t>Organic Traffic Growth Rate,</a:t>
          </a:r>
          <a:r>
            <a:rPr lang="en-IN" sz="1100" b="0" i="0" u="none" strike="noStrike" baseline="0">
              <a:solidFill>
                <a:schemeClr val="dk1"/>
              </a:solidFill>
              <a:effectLst/>
              <a:latin typeface="+mn-lt"/>
              <a:ea typeface="+mn-ea"/>
              <a:cs typeface="+mn-cs"/>
            </a:rPr>
            <a:t> </a:t>
          </a:r>
          <a:r>
            <a:rPr lang="en-IN" sz="1100" b="0" i="0" u="none" strike="noStrike">
              <a:solidFill>
                <a:schemeClr val="dk1"/>
              </a:solidFill>
              <a:effectLst/>
              <a:latin typeface="+mn-lt"/>
              <a:ea typeface="+mn-ea"/>
              <a:cs typeface="+mn-cs"/>
            </a:rPr>
            <a:t>Paid Traffic Growth Rate,</a:t>
          </a:r>
          <a:r>
            <a:rPr lang="en-IN">
              <a:effectLst/>
            </a:rPr>
            <a:t> </a:t>
          </a:r>
          <a:r>
            <a:rPr lang="en-IN" sz="1100" b="0" i="0" u="none" strike="noStrike">
              <a:solidFill>
                <a:schemeClr val="dk1"/>
              </a:solidFill>
              <a:effectLst/>
              <a:latin typeface="+mn-lt"/>
              <a:ea typeface="+mn-ea"/>
              <a:cs typeface="+mn-cs"/>
            </a:rPr>
            <a:t>Conversion Rate Monthly Improvement,</a:t>
          </a:r>
          <a:r>
            <a:rPr lang="en-IN">
              <a:effectLst/>
            </a:rPr>
            <a:t> </a:t>
          </a:r>
          <a:r>
            <a:rPr lang="en-IN" sz="1100" b="0" i="0" u="none" strike="noStrike">
              <a:solidFill>
                <a:schemeClr val="dk1"/>
              </a:solidFill>
              <a:effectLst/>
              <a:latin typeface="+mn-lt"/>
              <a:ea typeface="+mn-ea"/>
              <a:cs typeface="+mn-cs"/>
            </a:rPr>
            <a:t>Paid Traffic Cost per Click,</a:t>
          </a:r>
          <a:r>
            <a:rPr lang="en-IN">
              <a:effectLst/>
            </a:rPr>
            <a:t> </a:t>
          </a:r>
          <a:r>
            <a:rPr lang="en-IN" sz="1100" b="0" i="0" u="none" strike="noStrike">
              <a:solidFill>
                <a:schemeClr val="dk1"/>
              </a:solidFill>
              <a:effectLst/>
              <a:latin typeface="+mn-lt"/>
              <a:ea typeface="+mn-ea"/>
              <a:cs typeface="+mn-cs"/>
            </a:rPr>
            <a:t>Refund Rate)</a:t>
          </a:r>
          <a:r>
            <a:rPr lang="en-IN">
              <a:effectLst/>
            </a:rPr>
            <a:t> </a:t>
          </a:r>
          <a:r>
            <a:rPr lang="en-IN" sz="1100" baseline="0">
              <a:solidFill>
                <a:schemeClr val="dk1"/>
              </a:solidFill>
              <a:effectLst/>
              <a:latin typeface="+mn-lt"/>
              <a:ea typeface="+mn-ea"/>
              <a:cs typeface="+mn-cs"/>
            </a:rPr>
            <a:t> out of the broad assumptions.</a:t>
          </a:r>
          <a:br>
            <a:rPr lang="en-IN" sz="1100" baseline="0">
              <a:solidFill>
                <a:schemeClr val="dk1"/>
              </a:solidFill>
              <a:effectLst/>
              <a:latin typeface="+mn-lt"/>
              <a:ea typeface="+mn-ea"/>
              <a:cs typeface="+mn-cs"/>
            </a:rPr>
          </a:br>
          <a:endParaRPr lang="en-IN">
            <a:effectLst/>
          </a:endParaRPr>
        </a:p>
        <a:p>
          <a:r>
            <a:rPr lang="en-IN" sz="1100" baseline="0">
              <a:solidFill>
                <a:schemeClr val="dk1"/>
              </a:solidFill>
              <a:effectLst/>
              <a:latin typeface="+mn-lt"/>
              <a:ea typeface="+mn-ea"/>
              <a:cs typeface="+mn-cs"/>
            </a:rPr>
            <a:t>Under the "Summary" sheet, both the charts' X axis represents financial months which starts from April to March.</a:t>
          </a:r>
          <a:endParaRPr lang="en-IN">
            <a:effectLst/>
          </a:endParaRP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6CD5-2516-484F-9A97-C68A845E7326}">
  <sheetPr>
    <tabColor theme="3" tint="0.249977111117893"/>
  </sheetPr>
  <dimension ref="A1:R47"/>
  <sheetViews>
    <sheetView tabSelected="1" zoomScaleNormal="99" workbookViewId="0">
      <pane xSplit="1" ySplit="3" topLeftCell="B4" activePane="bottomRight" state="frozen"/>
      <selection pane="topRight" activeCell="B1" sqref="B1"/>
      <selection pane="bottomLeft" activeCell="A4" sqref="A4"/>
      <selection pane="bottomRight" activeCell="R23" sqref="R23"/>
    </sheetView>
  </sheetViews>
  <sheetFormatPr defaultRowHeight="14.4" x14ac:dyDescent="0.3"/>
  <cols>
    <col min="1" max="1" width="26.109375" bestFit="1" customWidth="1"/>
    <col min="2" max="2" width="9.44140625" bestFit="1" customWidth="1"/>
    <col min="3" max="6" width="13.44140625" bestFit="1" customWidth="1"/>
    <col min="7" max="7" width="14.109375" bestFit="1" customWidth="1"/>
    <col min="8" max="15" width="13.88671875" bestFit="1" customWidth="1"/>
    <col min="17" max="17" width="32" bestFit="1" customWidth="1"/>
    <col min="18" max="18" width="13.88671875" bestFit="1" customWidth="1"/>
  </cols>
  <sheetData>
    <row r="1" spans="1:18" ht="28.8" customHeight="1" x14ac:dyDescent="0.3">
      <c r="A1" s="81" t="s">
        <v>0</v>
      </c>
      <c r="B1" s="81"/>
      <c r="C1" s="81"/>
      <c r="D1" s="81"/>
      <c r="E1" s="81"/>
      <c r="F1" s="81"/>
      <c r="G1" s="81"/>
      <c r="H1" s="81"/>
      <c r="I1" s="81"/>
      <c r="J1" s="81"/>
      <c r="K1" s="81"/>
      <c r="L1" s="81"/>
      <c r="M1" s="81"/>
      <c r="N1" s="81"/>
      <c r="O1" s="81"/>
    </row>
    <row r="2" spans="1:18" x14ac:dyDescent="0.3">
      <c r="A2" s="84" t="s">
        <v>59</v>
      </c>
      <c r="B2" s="20"/>
      <c r="C2" s="19" t="s">
        <v>15</v>
      </c>
      <c r="D2" s="19" t="s">
        <v>16</v>
      </c>
      <c r="E2" s="19" t="s">
        <v>17</v>
      </c>
      <c r="F2" s="19" t="s">
        <v>18</v>
      </c>
      <c r="G2" s="19" t="s">
        <v>19</v>
      </c>
      <c r="H2" s="19" t="s">
        <v>20</v>
      </c>
      <c r="I2" s="19" t="s">
        <v>21</v>
      </c>
      <c r="J2" s="19" t="s">
        <v>22</v>
      </c>
      <c r="K2" s="19" t="s">
        <v>23</v>
      </c>
      <c r="L2" s="19" t="s">
        <v>24</v>
      </c>
      <c r="M2" s="19" t="s">
        <v>25</v>
      </c>
      <c r="N2" s="19" t="s">
        <v>26</v>
      </c>
      <c r="O2" s="29" t="s">
        <v>72</v>
      </c>
    </row>
    <row r="3" spans="1:18" x14ac:dyDescent="0.3">
      <c r="A3" s="84"/>
      <c r="B3" s="20"/>
      <c r="C3" s="30" t="s">
        <v>60</v>
      </c>
      <c r="D3" s="30" t="s">
        <v>61</v>
      </c>
      <c r="E3" s="30" t="s">
        <v>62</v>
      </c>
      <c r="F3" s="30" t="s">
        <v>63</v>
      </c>
      <c r="G3" s="30" t="s">
        <v>64</v>
      </c>
      <c r="H3" s="30" t="s">
        <v>65</v>
      </c>
      <c r="I3" s="30" t="s">
        <v>66</v>
      </c>
      <c r="J3" s="30" t="s">
        <v>67</v>
      </c>
      <c r="K3" s="30" t="s">
        <v>68</v>
      </c>
      <c r="L3" s="30" t="s">
        <v>69</v>
      </c>
      <c r="M3" s="30" t="s">
        <v>70</v>
      </c>
      <c r="N3" s="30" t="s">
        <v>71</v>
      </c>
      <c r="O3" s="31" t="s">
        <v>73</v>
      </c>
      <c r="Q3" s="80"/>
    </row>
    <row r="4" spans="1:18" x14ac:dyDescent="0.3">
      <c r="A4" s="12" t="s">
        <v>14</v>
      </c>
      <c r="B4" s="10"/>
      <c r="C4" s="10"/>
      <c r="D4" s="10"/>
      <c r="E4" s="10"/>
      <c r="F4" s="10"/>
      <c r="G4" s="10"/>
      <c r="H4" s="10"/>
      <c r="I4" s="10"/>
      <c r="J4" s="10"/>
      <c r="K4" s="10"/>
      <c r="L4" s="10"/>
      <c r="M4" s="10"/>
      <c r="N4" s="10"/>
      <c r="O4" s="10"/>
      <c r="Q4" s="21" t="s">
        <v>1</v>
      </c>
      <c r="R4" s="21"/>
    </row>
    <row r="5" spans="1:18" x14ac:dyDescent="0.3">
      <c r="A5" t="s">
        <v>27</v>
      </c>
      <c r="B5" s="8"/>
      <c r="C5">
        <f>$R$5</f>
        <v>800</v>
      </c>
      <c r="D5">
        <f>C5*(1+$R$6)</f>
        <v>944</v>
      </c>
      <c r="E5">
        <f t="shared" ref="E5:N5" si="0">D5*(1+$R$6)</f>
        <v>1113.9199999999998</v>
      </c>
      <c r="F5" s="7">
        <f t="shared" si="0"/>
        <v>1314.4255999999998</v>
      </c>
      <c r="G5" s="7">
        <f t="shared" si="0"/>
        <v>1551.0222079999996</v>
      </c>
      <c r="H5" s="7">
        <f t="shared" si="0"/>
        <v>1830.2062054399994</v>
      </c>
      <c r="I5" s="7">
        <f t="shared" si="0"/>
        <v>2159.6433224191992</v>
      </c>
      <c r="J5" s="7">
        <f t="shared" si="0"/>
        <v>2548.3791204546551</v>
      </c>
      <c r="K5" s="7">
        <f t="shared" si="0"/>
        <v>3007.0873621364926</v>
      </c>
      <c r="L5" s="7">
        <f t="shared" si="0"/>
        <v>3548.3630873210609</v>
      </c>
      <c r="M5" s="7">
        <f t="shared" si="0"/>
        <v>4187.0684430388519</v>
      </c>
      <c r="N5" s="32">
        <f t="shared" si="0"/>
        <v>4940.7407627858447</v>
      </c>
      <c r="O5" s="7">
        <f>SUM(C5:N5)</f>
        <v>27944.856111596102</v>
      </c>
      <c r="Q5" s="22" t="s">
        <v>2</v>
      </c>
      <c r="R5" s="23">
        <v>800</v>
      </c>
    </row>
    <row r="6" spans="1:18" x14ac:dyDescent="0.3">
      <c r="A6" t="s">
        <v>29</v>
      </c>
      <c r="B6" s="8"/>
      <c r="C6">
        <f>$R$7</f>
        <v>600</v>
      </c>
      <c r="D6">
        <f>C6*(1+$R$8)</f>
        <v>672.00000000000011</v>
      </c>
      <c r="E6">
        <f t="shared" ref="E6:N6" si="1">D6*(1+$R$8)</f>
        <v>752.64000000000021</v>
      </c>
      <c r="F6" s="7">
        <f t="shared" si="1"/>
        <v>842.95680000000027</v>
      </c>
      <c r="G6" s="7">
        <f t="shared" si="1"/>
        <v>944.11161600000037</v>
      </c>
      <c r="H6" s="7">
        <f t="shared" si="1"/>
        <v>1057.4050099200006</v>
      </c>
      <c r="I6" s="7">
        <f t="shared" si="1"/>
        <v>1184.2936111104007</v>
      </c>
      <c r="J6" s="7">
        <f t="shared" si="1"/>
        <v>1326.4088444436488</v>
      </c>
      <c r="K6" s="7">
        <f t="shared" si="1"/>
        <v>1485.5779057768868</v>
      </c>
      <c r="L6" s="7">
        <f t="shared" si="1"/>
        <v>1663.8472544701135</v>
      </c>
      <c r="M6" s="7">
        <f t="shared" si="1"/>
        <v>1863.5089250065273</v>
      </c>
      <c r="N6" s="32">
        <f t="shared" si="1"/>
        <v>2087.1299960073106</v>
      </c>
      <c r="O6" s="7">
        <f t="shared" ref="O6:O25" si="2">SUM(C6:N6)</f>
        <v>14479.879962734889</v>
      </c>
      <c r="Q6" s="22" t="s">
        <v>3</v>
      </c>
      <c r="R6" s="76">
        <f>INDEX('Scenario Analysis'!C3:E3,MATCH('Scenario Analysis'!$A$9,'Scenario Analysis'!$C$2:$E$2,0))</f>
        <v>0.18</v>
      </c>
    </row>
    <row r="7" spans="1:18" s="9" customFormat="1" x14ac:dyDescent="0.3">
      <c r="A7" s="13" t="s">
        <v>28</v>
      </c>
      <c r="B7" s="13"/>
      <c r="C7" s="14">
        <f>SUM(C5:C6)</f>
        <v>1400</v>
      </c>
      <c r="D7" s="14">
        <f t="shared" ref="D7:N7" si="3">SUM(D5:D6)</f>
        <v>1616</v>
      </c>
      <c r="E7" s="14">
        <f t="shared" si="3"/>
        <v>1866.56</v>
      </c>
      <c r="F7" s="14">
        <f t="shared" si="3"/>
        <v>2157.3824</v>
      </c>
      <c r="G7" s="14">
        <f t="shared" si="3"/>
        <v>2495.133824</v>
      </c>
      <c r="H7" s="14">
        <f t="shared" si="3"/>
        <v>2887.6112153599997</v>
      </c>
      <c r="I7" s="14">
        <f t="shared" si="3"/>
        <v>3343.9369335295996</v>
      </c>
      <c r="J7" s="14">
        <f t="shared" si="3"/>
        <v>3874.7879648983039</v>
      </c>
      <c r="K7" s="14">
        <f t="shared" si="3"/>
        <v>4492.6652679133795</v>
      </c>
      <c r="L7" s="14">
        <f t="shared" si="3"/>
        <v>5212.2103417911749</v>
      </c>
      <c r="M7" s="14">
        <f t="shared" si="3"/>
        <v>6050.5773680453794</v>
      </c>
      <c r="N7" s="33">
        <f t="shared" si="3"/>
        <v>7027.8707587931549</v>
      </c>
      <c r="O7" s="44">
        <f t="shared" si="2"/>
        <v>42424.736074330998</v>
      </c>
      <c r="Q7" s="22" t="s">
        <v>4</v>
      </c>
      <c r="R7" s="23">
        <v>600</v>
      </c>
    </row>
    <row r="8" spans="1:18" x14ac:dyDescent="0.3">
      <c r="A8" t="s">
        <v>31</v>
      </c>
      <c r="C8" s="2">
        <f>R9</f>
        <v>2.5000000000000001E-2</v>
      </c>
      <c r="D8" s="2">
        <f>C8*(1+$R$10)</f>
        <v>2.5124999999999998E-2</v>
      </c>
      <c r="E8" s="2">
        <f t="shared" ref="E8:N8" si="4">D8*(1+$R$10)</f>
        <v>2.5250624999999995E-2</v>
      </c>
      <c r="F8" s="2">
        <f t="shared" si="4"/>
        <v>2.5376878124999992E-2</v>
      </c>
      <c r="G8" s="2">
        <f t="shared" si="4"/>
        <v>2.550376251562499E-2</v>
      </c>
      <c r="H8" s="2">
        <f t="shared" si="4"/>
        <v>2.5631281328203113E-2</v>
      </c>
      <c r="I8" s="2">
        <f t="shared" si="4"/>
        <v>2.5759437734844126E-2</v>
      </c>
      <c r="J8" s="2">
        <f t="shared" si="4"/>
        <v>2.5888234923518345E-2</v>
      </c>
      <c r="K8" s="2">
        <f t="shared" si="4"/>
        <v>2.6017676098135933E-2</v>
      </c>
      <c r="L8" s="2">
        <f t="shared" si="4"/>
        <v>2.6147764478626611E-2</v>
      </c>
      <c r="M8" s="2">
        <f t="shared" si="4"/>
        <v>2.6278503301019742E-2</v>
      </c>
      <c r="N8" s="34">
        <f t="shared" si="4"/>
        <v>2.6409895817524839E-2</v>
      </c>
      <c r="O8" s="7"/>
      <c r="Q8" s="22" t="s">
        <v>5</v>
      </c>
      <c r="R8" s="76">
        <f>INDEX('Scenario Analysis'!C4:E4, MATCH('Scenario Analysis'!$A$9, 'Scenario Analysis'!$C$2:$E$2, 0))</f>
        <v>0.12</v>
      </c>
    </row>
    <row r="9" spans="1:18" x14ac:dyDescent="0.3">
      <c r="A9" t="s">
        <v>32</v>
      </c>
      <c r="C9" s="2">
        <f>$R$11</f>
        <v>0.01</v>
      </c>
      <c r="D9" s="2">
        <f>C9*(1+$R$10)</f>
        <v>1.005E-2</v>
      </c>
      <c r="E9" s="2">
        <f t="shared" ref="E9:N9" si="5">D9*(1+$R$10)</f>
        <v>1.0100249999999998E-2</v>
      </c>
      <c r="F9" s="2">
        <f t="shared" si="5"/>
        <v>1.0150751249999998E-2</v>
      </c>
      <c r="G9" s="2">
        <f t="shared" si="5"/>
        <v>1.0201505006249997E-2</v>
      </c>
      <c r="H9" s="2">
        <f t="shared" si="5"/>
        <v>1.0252512531281245E-2</v>
      </c>
      <c r="I9" s="2">
        <f t="shared" si="5"/>
        <v>1.030377509393765E-2</v>
      </c>
      <c r="J9" s="2">
        <f t="shared" si="5"/>
        <v>1.0355293969407337E-2</v>
      </c>
      <c r="K9" s="2">
        <f t="shared" si="5"/>
        <v>1.0407070439254373E-2</v>
      </c>
      <c r="L9" s="2">
        <f t="shared" si="5"/>
        <v>1.0459105791450644E-2</v>
      </c>
      <c r="M9" s="2">
        <f t="shared" si="5"/>
        <v>1.0511401320407896E-2</v>
      </c>
      <c r="N9" s="34">
        <f t="shared" si="5"/>
        <v>1.0563958327009935E-2</v>
      </c>
      <c r="O9" s="7"/>
      <c r="Q9" s="22" t="s">
        <v>6</v>
      </c>
      <c r="R9" s="25">
        <v>2.5000000000000001E-2</v>
      </c>
    </row>
    <row r="10" spans="1:18" x14ac:dyDescent="0.3">
      <c r="A10" s="13" t="s">
        <v>33</v>
      </c>
      <c r="B10" s="15"/>
      <c r="C10" s="16">
        <f>AVERAGE(C8:C9)</f>
        <v>1.7500000000000002E-2</v>
      </c>
      <c r="D10" s="16">
        <f t="shared" ref="D10:N10" si="6">AVERAGE(D8:D9)</f>
        <v>1.7587499999999999E-2</v>
      </c>
      <c r="E10" s="16">
        <f t="shared" si="6"/>
        <v>1.7675437499999995E-2</v>
      </c>
      <c r="F10" s="16">
        <f t="shared" si="6"/>
        <v>1.7763814687499994E-2</v>
      </c>
      <c r="G10" s="16">
        <f t="shared" si="6"/>
        <v>1.7852633760937493E-2</v>
      </c>
      <c r="H10" s="16">
        <f t="shared" si="6"/>
        <v>1.7941896929742178E-2</v>
      </c>
      <c r="I10" s="16">
        <f t="shared" si="6"/>
        <v>1.8031606414390888E-2</v>
      </c>
      <c r="J10" s="16">
        <f t="shared" si="6"/>
        <v>1.8121764446462841E-2</v>
      </c>
      <c r="K10" s="16">
        <f t="shared" si="6"/>
        <v>1.8212373268695153E-2</v>
      </c>
      <c r="L10" s="16">
        <f t="shared" si="6"/>
        <v>1.8303435135038626E-2</v>
      </c>
      <c r="M10" s="16">
        <f t="shared" si="6"/>
        <v>1.8394952310713818E-2</v>
      </c>
      <c r="N10" s="35">
        <f t="shared" si="6"/>
        <v>1.8486927072267387E-2</v>
      </c>
      <c r="O10" s="44"/>
      <c r="Q10" s="22" t="s">
        <v>7</v>
      </c>
      <c r="R10" s="77">
        <f>INDEX('Scenario Analysis'!C5:E5, MATCH('Scenario Analysis'!$A$9, 'Scenario Analysis'!$C$2:$E$2, 0))</f>
        <v>5.0000000000000001E-3</v>
      </c>
    </row>
    <row r="11" spans="1:18" x14ac:dyDescent="0.3">
      <c r="A11" t="s">
        <v>30</v>
      </c>
      <c r="C11" s="7">
        <f>ROUND(C5*C8,0)</f>
        <v>20</v>
      </c>
      <c r="D11" s="7">
        <f>ROUND(D5*D8,0)</f>
        <v>24</v>
      </c>
      <c r="E11" s="7">
        <f t="shared" ref="E11:N11" si="7">ROUND(E5*E8,0)</f>
        <v>28</v>
      </c>
      <c r="F11" s="7">
        <f t="shared" si="7"/>
        <v>33</v>
      </c>
      <c r="G11" s="7">
        <f t="shared" si="7"/>
        <v>40</v>
      </c>
      <c r="H11" s="7">
        <f t="shared" si="7"/>
        <v>47</v>
      </c>
      <c r="I11" s="7">
        <f t="shared" si="7"/>
        <v>56</v>
      </c>
      <c r="J11" s="7">
        <f t="shared" si="7"/>
        <v>66</v>
      </c>
      <c r="K11" s="7">
        <f t="shared" si="7"/>
        <v>78</v>
      </c>
      <c r="L11" s="7">
        <f t="shared" si="7"/>
        <v>93</v>
      </c>
      <c r="M11" s="7">
        <f t="shared" si="7"/>
        <v>110</v>
      </c>
      <c r="N11" s="32">
        <f t="shared" si="7"/>
        <v>130</v>
      </c>
      <c r="O11" s="7">
        <f t="shared" si="2"/>
        <v>725</v>
      </c>
      <c r="Q11" s="22" t="s">
        <v>8</v>
      </c>
      <c r="R11" s="24">
        <v>0.01</v>
      </c>
    </row>
    <row r="12" spans="1:18" x14ac:dyDescent="0.3">
      <c r="A12" t="s">
        <v>34</v>
      </c>
      <c r="C12">
        <f>ROUND(C6*C9,0)</f>
        <v>6</v>
      </c>
      <c r="D12">
        <f>ROUND(D6*D9,0)</f>
        <v>7</v>
      </c>
      <c r="E12">
        <f t="shared" ref="E12:N12" si="8">ROUND(E6*E9,0)</f>
        <v>8</v>
      </c>
      <c r="F12">
        <f t="shared" si="8"/>
        <v>9</v>
      </c>
      <c r="G12">
        <f t="shared" si="8"/>
        <v>10</v>
      </c>
      <c r="H12">
        <f t="shared" si="8"/>
        <v>11</v>
      </c>
      <c r="I12">
        <f t="shared" si="8"/>
        <v>12</v>
      </c>
      <c r="J12">
        <f t="shared" si="8"/>
        <v>14</v>
      </c>
      <c r="K12">
        <f t="shared" si="8"/>
        <v>15</v>
      </c>
      <c r="L12">
        <f t="shared" si="8"/>
        <v>17</v>
      </c>
      <c r="M12">
        <f t="shared" si="8"/>
        <v>20</v>
      </c>
      <c r="N12" s="36">
        <f t="shared" si="8"/>
        <v>22</v>
      </c>
      <c r="O12" s="7">
        <f t="shared" si="2"/>
        <v>151</v>
      </c>
      <c r="Q12" s="22" t="s">
        <v>12</v>
      </c>
      <c r="R12" s="26">
        <v>1499</v>
      </c>
    </row>
    <row r="13" spans="1:18" x14ac:dyDescent="0.3">
      <c r="A13" s="13" t="s">
        <v>35</v>
      </c>
      <c r="B13" s="15"/>
      <c r="C13" s="14">
        <f>SUM(C11:C12)</f>
        <v>26</v>
      </c>
      <c r="D13" s="14">
        <f t="shared" ref="D13:N13" si="9">SUM(D11:D12)</f>
        <v>31</v>
      </c>
      <c r="E13" s="14">
        <f t="shared" si="9"/>
        <v>36</v>
      </c>
      <c r="F13" s="14">
        <f t="shared" si="9"/>
        <v>42</v>
      </c>
      <c r="G13" s="14">
        <f t="shared" si="9"/>
        <v>50</v>
      </c>
      <c r="H13" s="14">
        <f t="shared" si="9"/>
        <v>58</v>
      </c>
      <c r="I13" s="14">
        <f t="shared" si="9"/>
        <v>68</v>
      </c>
      <c r="J13" s="14">
        <f t="shared" si="9"/>
        <v>80</v>
      </c>
      <c r="K13" s="14">
        <f t="shared" si="9"/>
        <v>93</v>
      </c>
      <c r="L13" s="14">
        <f t="shared" si="9"/>
        <v>110</v>
      </c>
      <c r="M13" s="14">
        <f t="shared" si="9"/>
        <v>130</v>
      </c>
      <c r="N13" s="33">
        <f t="shared" si="9"/>
        <v>152</v>
      </c>
      <c r="O13" s="44">
        <f t="shared" si="2"/>
        <v>876</v>
      </c>
      <c r="Q13" s="22" t="s">
        <v>11</v>
      </c>
      <c r="R13" s="26">
        <v>2999</v>
      </c>
    </row>
    <row r="14" spans="1:18" x14ac:dyDescent="0.3">
      <c r="A14" t="s">
        <v>36</v>
      </c>
      <c r="N14" s="36"/>
      <c r="O14" s="7"/>
      <c r="Q14" s="22" t="s">
        <v>9</v>
      </c>
      <c r="R14" s="76">
        <f>INDEX('Scenario Analysis'!C7:E7, MATCH('Scenario Analysis'!$A$9, 'Scenario Analysis'!$C$2:$E$2, 0))</f>
        <v>0.05</v>
      </c>
    </row>
    <row r="15" spans="1:18" x14ac:dyDescent="0.3">
      <c r="A15" t="s">
        <v>37</v>
      </c>
      <c r="C15" s="3">
        <f>$R$12</f>
        <v>1499</v>
      </c>
      <c r="D15" s="3">
        <f t="shared" ref="D15:H15" si="10">$R$12</f>
        <v>1499</v>
      </c>
      <c r="E15" s="3">
        <f t="shared" si="10"/>
        <v>1499</v>
      </c>
      <c r="F15" s="3">
        <f t="shared" si="10"/>
        <v>1499</v>
      </c>
      <c r="G15" s="3">
        <f t="shared" si="10"/>
        <v>1499</v>
      </c>
      <c r="H15" s="3">
        <f t="shared" si="10"/>
        <v>1499</v>
      </c>
      <c r="I15" s="3">
        <f>$R$13</f>
        <v>2999</v>
      </c>
      <c r="J15" s="3">
        <f t="shared" ref="J15:N15" si="11">$R$13</f>
        <v>2999</v>
      </c>
      <c r="K15" s="3">
        <f t="shared" si="11"/>
        <v>2999</v>
      </c>
      <c r="L15" s="3">
        <f t="shared" si="11"/>
        <v>2999</v>
      </c>
      <c r="M15" s="3">
        <f t="shared" si="11"/>
        <v>2999</v>
      </c>
      <c r="N15" s="37">
        <f t="shared" si="11"/>
        <v>2999</v>
      </c>
      <c r="O15" s="3">
        <f t="shared" si="2"/>
        <v>26988</v>
      </c>
      <c r="Q15" s="22" t="s">
        <v>10</v>
      </c>
      <c r="R15" s="24">
        <v>0.03</v>
      </c>
    </row>
    <row r="16" spans="1:18" x14ac:dyDescent="0.3">
      <c r="N16" s="36"/>
      <c r="O16" s="7"/>
      <c r="Q16" s="22" t="s">
        <v>13</v>
      </c>
      <c r="R16" s="27">
        <v>150</v>
      </c>
    </row>
    <row r="17" spans="1:18" x14ac:dyDescent="0.3">
      <c r="A17" s="12" t="s">
        <v>40</v>
      </c>
      <c r="B17" s="10"/>
      <c r="C17" s="10"/>
      <c r="D17" s="10"/>
      <c r="E17" s="10"/>
      <c r="F17" s="10"/>
      <c r="G17" s="10"/>
      <c r="H17" s="10"/>
      <c r="I17" s="10"/>
      <c r="J17" s="10"/>
      <c r="K17" s="10"/>
      <c r="L17" s="10"/>
      <c r="M17" s="10"/>
      <c r="N17" s="10"/>
      <c r="O17" s="45"/>
      <c r="Q17" s="22" t="s">
        <v>44</v>
      </c>
      <c r="R17" s="78">
        <f>INDEX('Scenario Analysis'!C6:E6, MATCH('Scenario Analysis'!$A$9, 'Scenario Analysis'!$C$2:$E$2, 0))</f>
        <v>20</v>
      </c>
    </row>
    <row r="18" spans="1:18" x14ac:dyDescent="0.3">
      <c r="A18" t="s">
        <v>41</v>
      </c>
      <c r="N18" s="36"/>
      <c r="O18" s="7"/>
      <c r="Q18" s="22" t="s">
        <v>57</v>
      </c>
      <c r="R18" s="28">
        <v>0.3</v>
      </c>
    </row>
    <row r="19" spans="1:18" x14ac:dyDescent="0.3">
      <c r="A19" t="s">
        <v>42</v>
      </c>
      <c r="C19" s="3">
        <f>$R$15*(C15*C13)</f>
        <v>1169.22</v>
      </c>
      <c r="D19" s="3">
        <f>$R$15*(D15*D13)</f>
        <v>1394.07</v>
      </c>
      <c r="E19" s="3">
        <f t="shared" ref="E19:N19" si="12">$R$15*(E15*E13)</f>
        <v>1618.9199999999998</v>
      </c>
      <c r="F19" s="3">
        <f t="shared" si="12"/>
        <v>1888.74</v>
      </c>
      <c r="G19" s="3">
        <f t="shared" si="12"/>
        <v>2248.5</v>
      </c>
      <c r="H19" s="3">
        <f t="shared" si="12"/>
        <v>2608.2599999999998</v>
      </c>
      <c r="I19" s="3">
        <f t="shared" si="12"/>
        <v>6117.96</v>
      </c>
      <c r="J19" s="3">
        <f t="shared" si="12"/>
        <v>7197.5999999999995</v>
      </c>
      <c r="K19" s="3">
        <f t="shared" si="12"/>
        <v>8367.2099999999991</v>
      </c>
      <c r="L19" s="3">
        <f t="shared" si="12"/>
        <v>9896.6999999999989</v>
      </c>
      <c r="M19" s="3">
        <f t="shared" si="12"/>
        <v>11696.1</v>
      </c>
      <c r="N19" s="37">
        <f t="shared" si="12"/>
        <v>13675.439999999999</v>
      </c>
      <c r="O19" s="3">
        <f t="shared" si="2"/>
        <v>67878.720000000001</v>
      </c>
      <c r="Q19" s="22" t="s">
        <v>91</v>
      </c>
      <c r="R19" s="64">
        <v>5000000</v>
      </c>
    </row>
    <row r="20" spans="1:18" x14ac:dyDescent="0.3">
      <c r="A20" t="s">
        <v>43</v>
      </c>
      <c r="C20" s="6">
        <f>$R$16*C13</f>
        <v>3900</v>
      </c>
      <c r="D20" s="6">
        <f t="shared" ref="D20:N20" si="13">$R$16*D13</f>
        <v>4650</v>
      </c>
      <c r="E20" s="6">
        <f t="shared" si="13"/>
        <v>5400</v>
      </c>
      <c r="F20" s="6">
        <f t="shared" si="13"/>
        <v>6300</v>
      </c>
      <c r="G20" s="6">
        <f t="shared" si="13"/>
        <v>7500</v>
      </c>
      <c r="H20" s="6">
        <f t="shared" si="13"/>
        <v>8700</v>
      </c>
      <c r="I20" s="6">
        <f t="shared" si="13"/>
        <v>10200</v>
      </c>
      <c r="J20" s="6">
        <f t="shared" si="13"/>
        <v>12000</v>
      </c>
      <c r="K20" s="6">
        <f t="shared" si="13"/>
        <v>13950</v>
      </c>
      <c r="L20" s="6">
        <f t="shared" si="13"/>
        <v>16500</v>
      </c>
      <c r="M20" s="6">
        <f t="shared" si="13"/>
        <v>19500</v>
      </c>
      <c r="N20" s="38">
        <f t="shared" si="13"/>
        <v>22800</v>
      </c>
      <c r="O20" s="3">
        <f t="shared" si="2"/>
        <v>131400</v>
      </c>
      <c r="R20" s="5"/>
    </row>
    <row r="21" spans="1:18" x14ac:dyDescent="0.3">
      <c r="A21" t="s">
        <v>45</v>
      </c>
      <c r="C21" s="6">
        <f>$R$17*C6</f>
        <v>12000</v>
      </c>
      <c r="D21" s="6">
        <f t="shared" ref="D21:N21" si="14">$R$17*D6</f>
        <v>13440.000000000002</v>
      </c>
      <c r="E21" s="6">
        <f t="shared" si="14"/>
        <v>15052.800000000005</v>
      </c>
      <c r="F21" s="6">
        <f t="shared" si="14"/>
        <v>16859.136000000006</v>
      </c>
      <c r="G21" s="6">
        <f t="shared" si="14"/>
        <v>18882.232320000006</v>
      </c>
      <c r="H21" s="6">
        <f t="shared" si="14"/>
        <v>21148.10019840001</v>
      </c>
      <c r="I21" s="6">
        <f t="shared" si="14"/>
        <v>23685.872222208014</v>
      </c>
      <c r="J21" s="6">
        <f t="shared" si="14"/>
        <v>26528.176888872978</v>
      </c>
      <c r="K21" s="6">
        <f t="shared" si="14"/>
        <v>29711.558115537737</v>
      </c>
      <c r="L21" s="6">
        <f t="shared" si="14"/>
        <v>33276.945089402274</v>
      </c>
      <c r="M21" s="6">
        <f t="shared" si="14"/>
        <v>37270.178500130547</v>
      </c>
      <c r="N21" s="38">
        <f t="shared" si="14"/>
        <v>41742.599920146211</v>
      </c>
      <c r="O21" s="3">
        <f t="shared" si="2"/>
        <v>289597.59925469779</v>
      </c>
      <c r="R21" s="5"/>
    </row>
    <row r="22" spans="1:18" x14ac:dyDescent="0.3">
      <c r="A22" t="s">
        <v>46</v>
      </c>
      <c r="N22" s="36"/>
      <c r="O22" s="3"/>
      <c r="R22" s="5"/>
    </row>
    <row r="23" spans="1:18" x14ac:dyDescent="0.3">
      <c r="A23" t="s">
        <v>47</v>
      </c>
      <c r="C23" s="4">
        <v>120000</v>
      </c>
      <c r="D23" s="4">
        <v>120000</v>
      </c>
      <c r="E23" s="4">
        <v>120000</v>
      </c>
      <c r="F23" s="4">
        <v>120000</v>
      </c>
      <c r="G23" s="4">
        <v>120000</v>
      </c>
      <c r="H23" s="4">
        <v>120000</v>
      </c>
      <c r="I23" s="4">
        <v>150000</v>
      </c>
      <c r="J23" s="4">
        <v>150000</v>
      </c>
      <c r="K23" s="4">
        <v>150000</v>
      </c>
      <c r="L23" s="4">
        <v>150000</v>
      </c>
      <c r="M23" s="4">
        <v>150000</v>
      </c>
      <c r="N23" s="4">
        <v>150000</v>
      </c>
      <c r="O23" s="3">
        <f t="shared" si="2"/>
        <v>1620000</v>
      </c>
      <c r="R23" s="5"/>
    </row>
    <row r="24" spans="1:18" x14ac:dyDescent="0.3">
      <c r="A24" t="s">
        <v>48</v>
      </c>
      <c r="C24" s="4">
        <v>20000</v>
      </c>
      <c r="D24" s="4">
        <v>20000</v>
      </c>
      <c r="E24" s="4">
        <v>20000</v>
      </c>
      <c r="F24" s="4">
        <v>20000</v>
      </c>
      <c r="G24" s="4">
        <v>20000</v>
      </c>
      <c r="H24" s="4">
        <v>20000</v>
      </c>
      <c r="I24" s="4">
        <v>20000</v>
      </c>
      <c r="J24" s="4">
        <v>20000</v>
      </c>
      <c r="K24" s="4">
        <v>20000</v>
      </c>
      <c r="L24" s="4">
        <v>20000</v>
      </c>
      <c r="M24" s="4">
        <v>20000</v>
      </c>
      <c r="N24" s="4">
        <v>20000</v>
      </c>
      <c r="O24" s="3">
        <f>SUM(C24:N24)</f>
        <v>240000</v>
      </c>
      <c r="R24" s="5"/>
    </row>
    <row r="25" spans="1:18" x14ac:dyDescent="0.3">
      <c r="A25" t="s">
        <v>49</v>
      </c>
      <c r="C25" s="4">
        <v>10000</v>
      </c>
      <c r="D25" s="4">
        <v>10000</v>
      </c>
      <c r="E25" s="4">
        <v>10000</v>
      </c>
      <c r="F25" s="4">
        <v>10000</v>
      </c>
      <c r="G25" s="4">
        <v>10000</v>
      </c>
      <c r="H25" s="4">
        <v>10000</v>
      </c>
      <c r="I25" s="4">
        <v>15000</v>
      </c>
      <c r="J25" s="4">
        <v>15000</v>
      </c>
      <c r="K25" s="4">
        <v>15000</v>
      </c>
      <c r="L25" s="4">
        <v>15000</v>
      </c>
      <c r="M25" s="4">
        <v>15000</v>
      </c>
      <c r="N25" s="4">
        <v>15000</v>
      </c>
      <c r="O25" s="3">
        <f t="shared" si="2"/>
        <v>150000</v>
      </c>
      <c r="R25" s="5"/>
    </row>
    <row r="26" spans="1:18" x14ac:dyDescent="0.3">
      <c r="C26" s="3"/>
      <c r="N26" s="36"/>
      <c r="R26" s="5"/>
    </row>
    <row r="27" spans="1:18" ht="18" customHeight="1" x14ac:dyDescent="0.35">
      <c r="A27" s="82" t="s">
        <v>38</v>
      </c>
      <c r="B27" s="83"/>
      <c r="C27" s="83"/>
      <c r="D27" s="83"/>
      <c r="E27" s="83"/>
      <c r="F27" s="83"/>
      <c r="G27" s="83"/>
      <c r="H27" s="83"/>
      <c r="I27" s="83"/>
      <c r="J27" s="83"/>
      <c r="K27" s="83"/>
      <c r="L27" s="83"/>
      <c r="M27" s="83"/>
      <c r="N27" s="83"/>
      <c r="O27" s="83"/>
    </row>
    <row r="28" spans="1:18" x14ac:dyDescent="0.3">
      <c r="A28" t="s">
        <v>39</v>
      </c>
      <c r="C28" s="3">
        <f>C15*C13</f>
        <v>38974</v>
      </c>
      <c r="D28" s="3">
        <f t="shared" ref="D28:N28" si="15">D15*D13</f>
        <v>46469</v>
      </c>
      <c r="E28" s="3">
        <f t="shared" si="15"/>
        <v>53964</v>
      </c>
      <c r="F28" s="3">
        <f t="shared" si="15"/>
        <v>62958</v>
      </c>
      <c r="G28" s="3">
        <f t="shared" si="15"/>
        <v>74950</v>
      </c>
      <c r="H28" s="3">
        <f t="shared" si="15"/>
        <v>86942</v>
      </c>
      <c r="I28" s="3">
        <f t="shared" si="15"/>
        <v>203932</v>
      </c>
      <c r="J28" s="3">
        <f t="shared" si="15"/>
        <v>239920</v>
      </c>
      <c r="K28" s="3">
        <f t="shared" si="15"/>
        <v>278907</v>
      </c>
      <c r="L28" s="3">
        <f t="shared" si="15"/>
        <v>329890</v>
      </c>
      <c r="M28" s="3">
        <f t="shared" si="15"/>
        <v>389870</v>
      </c>
      <c r="N28" s="37">
        <f t="shared" si="15"/>
        <v>455848</v>
      </c>
      <c r="O28" s="3">
        <f>SUM(C28:N28)</f>
        <v>2262624</v>
      </c>
    </row>
    <row r="29" spans="1:18" x14ac:dyDescent="0.3">
      <c r="A29" t="s">
        <v>54</v>
      </c>
      <c r="C29" s="3">
        <f>C28*$R$14</f>
        <v>1948.7</v>
      </c>
      <c r="D29" s="3">
        <f t="shared" ref="D29:N29" si="16">D28*$R$14</f>
        <v>2323.4500000000003</v>
      </c>
      <c r="E29" s="3">
        <f t="shared" si="16"/>
        <v>2698.2000000000003</v>
      </c>
      <c r="F29" s="3">
        <f t="shared" si="16"/>
        <v>3147.9</v>
      </c>
      <c r="G29" s="3">
        <f t="shared" si="16"/>
        <v>3747.5</v>
      </c>
      <c r="H29" s="3">
        <f t="shared" si="16"/>
        <v>4347.1000000000004</v>
      </c>
      <c r="I29" s="3">
        <f t="shared" si="16"/>
        <v>10196.6</v>
      </c>
      <c r="J29" s="3">
        <f t="shared" si="16"/>
        <v>11996</v>
      </c>
      <c r="K29" s="3">
        <f t="shared" si="16"/>
        <v>13945.35</v>
      </c>
      <c r="L29" s="3">
        <f t="shared" si="16"/>
        <v>16494.5</v>
      </c>
      <c r="M29" s="3">
        <f t="shared" si="16"/>
        <v>19493.5</v>
      </c>
      <c r="N29" s="37">
        <f t="shared" si="16"/>
        <v>22792.400000000001</v>
      </c>
      <c r="O29" s="3">
        <f t="shared" ref="O29:O39" si="17">SUM(C29:N29)</f>
        <v>113131.19999999998</v>
      </c>
    </row>
    <row r="30" spans="1:18" x14ac:dyDescent="0.3">
      <c r="A30" t="s">
        <v>53</v>
      </c>
      <c r="C30" s="3">
        <f t="shared" ref="C30:N30" si="18">SUM(C19:C20)</f>
        <v>5069.22</v>
      </c>
      <c r="D30" s="3">
        <f t="shared" si="18"/>
        <v>6044.07</v>
      </c>
      <c r="E30" s="3">
        <f t="shared" si="18"/>
        <v>7018.92</v>
      </c>
      <c r="F30" s="3">
        <f t="shared" si="18"/>
        <v>8188.74</v>
      </c>
      <c r="G30" s="3">
        <f t="shared" si="18"/>
        <v>9748.5</v>
      </c>
      <c r="H30" s="3">
        <f t="shared" si="18"/>
        <v>11308.26</v>
      </c>
      <c r="I30" s="3">
        <f t="shared" si="18"/>
        <v>16317.96</v>
      </c>
      <c r="J30" s="3">
        <f t="shared" si="18"/>
        <v>19197.599999999999</v>
      </c>
      <c r="K30" s="3">
        <f t="shared" si="18"/>
        <v>22317.21</v>
      </c>
      <c r="L30" s="3">
        <f t="shared" si="18"/>
        <v>26396.699999999997</v>
      </c>
      <c r="M30" s="3">
        <f t="shared" si="18"/>
        <v>31196.1</v>
      </c>
      <c r="N30" s="37">
        <f t="shared" si="18"/>
        <v>36475.440000000002</v>
      </c>
      <c r="O30" s="3">
        <f t="shared" si="17"/>
        <v>199278.72</v>
      </c>
    </row>
    <row r="31" spans="1:18" x14ac:dyDescent="0.3">
      <c r="A31" s="13" t="s">
        <v>50</v>
      </c>
      <c r="B31" s="13"/>
      <c r="C31" s="17">
        <f t="shared" ref="C31:N31" si="19">C28-C29-C30</f>
        <v>31956.080000000002</v>
      </c>
      <c r="D31" s="17">
        <f t="shared" si="19"/>
        <v>38101.480000000003</v>
      </c>
      <c r="E31" s="17">
        <f t="shared" si="19"/>
        <v>44246.880000000005</v>
      </c>
      <c r="F31" s="17">
        <f t="shared" si="19"/>
        <v>51621.36</v>
      </c>
      <c r="G31" s="17">
        <f t="shared" si="19"/>
        <v>61454</v>
      </c>
      <c r="H31" s="17">
        <f t="shared" si="19"/>
        <v>71286.64</v>
      </c>
      <c r="I31" s="17">
        <f t="shared" si="19"/>
        <v>177417.44</v>
      </c>
      <c r="J31" s="17">
        <f t="shared" si="19"/>
        <v>208726.39999999999</v>
      </c>
      <c r="K31" s="17">
        <f t="shared" si="19"/>
        <v>242644.44000000003</v>
      </c>
      <c r="L31" s="17">
        <f t="shared" si="19"/>
        <v>286998.8</v>
      </c>
      <c r="M31" s="17">
        <f t="shared" si="19"/>
        <v>339180.4</v>
      </c>
      <c r="N31" s="39">
        <f t="shared" si="19"/>
        <v>396580.16</v>
      </c>
      <c r="O31" s="42">
        <f t="shared" si="17"/>
        <v>1950214.0799999998</v>
      </c>
    </row>
    <row r="32" spans="1:18" x14ac:dyDescent="0.3">
      <c r="A32" t="s">
        <v>51</v>
      </c>
      <c r="C32" s="11">
        <f t="shared" ref="C32:O32" si="20">C31/C28</f>
        <v>0.81993328885923955</v>
      </c>
      <c r="D32" s="11">
        <f t="shared" si="20"/>
        <v>0.81993328885923955</v>
      </c>
      <c r="E32" s="11">
        <f t="shared" si="20"/>
        <v>0.81993328885923955</v>
      </c>
      <c r="F32" s="11">
        <f t="shared" si="20"/>
        <v>0.81993328885923955</v>
      </c>
      <c r="G32" s="11">
        <f t="shared" si="20"/>
        <v>0.81993328885923944</v>
      </c>
      <c r="H32" s="11">
        <f t="shared" si="20"/>
        <v>0.81993328885923944</v>
      </c>
      <c r="I32" s="11">
        <f t="shared" si="20"/>
        <v>0.86998332777592535</v>
      </c>
      <c r="J32" s="11">
        <f t="shared" si="20"/>
        <v>0.86998332777592524</v>
      </c>
      <c r="K32" s="11">
        <f t="shared" si="20"/>
        <v>0.86998332777592546</v>
      </c>
      <c r="L32" s="11">
        <f t="shared" si="20"/>
        <v>0.86998332777592524</v>
      </c>
      <c r="M32" s="11">
        <f t="shared" si="20"/>
        <v>0.86998332777592535</v>
      </c>
      <c r="N32" s="40">
        <f t="shared" si="20"/>
        <v>0.86998332777592524</v>
      </c>
      <c r="O32" s="11">
        <f t="shared" si="20"/>
        <v>0.86192583478297757</v>
      </c>
    </row>
    <row r="33" spans="1:15" x14ac:dyDescent="0.3">
      <c r="N33" s="36"/>
      <c r="O33" s="3"/>
    </row>
    <row r="34" spans="1:15" x14ac:dyDescent="0.3">
      <c r="A34" t="s">
        <v>55</v>
      </c>
      <c r="C34" s="6">
        <f t="shared" ref="C34:N34" si="21">SUM(C21,C23,C24,C25)</f>
        <v>162000</v>
      </c>
      <c r="D34" s="6">
        <f t="shared" si="21"/>
        <v>163440</v>
      </c>
      <c r="E34" s="6">
        <f t="shared" si="21"/>
        <v>165052.80000000002</v>
      </c>
      <c r="F34" s="6">
        <f t="shared" si="21"/>
        <v>166859.136</v>
      </c>
      <c r="G34" s="6">
        <f t="shared" si="21"/>
        <v>168882.23232000001</v>
      </c>
      <c r="H34" s="6">
        <f t="shared" si="21"/>
        <v>171148.1001984</v>
      </c>
      <c r="I34" s="6">
        <f t="shared" si="21"/>
        <v>208685.87222220801</v>
      </c>
      <c r="J34" s="6">
        <f t="shared" si="21"/>
        <v>211528.17688887299</v>
      </c>
      <c r="K34" s="6">
        <f t="shared" si="21"/>
        <v>214711.55811553774</v>
      </c>
      <c r="L34" s="6">
        <f t="shared" si="21"/>
        <v>218276.94508940226</v>
      </c>
      <c r="M34" s="6">
        <f t="shared" si="21"/>
        <v>222270.17850013054</v>
      </c>
      <c r="N34" s="38">
        <f t="shared" si="21"/>
        <v>226742.59992014623</v>
      </c>
      <c r="O34" s="3">
        <f t="shared" si="17"/>
        <v>2299597.5992546976</v>
      </c>
    </row>
    <row r="35" spans="1:15" x14ac:dyDescent="0.3">
      <c r="N35" s="36"/>
      <c r="O35" s="3"/>
    </row>
    <row r="36" spans="1:15" x14ac:dyDescent="0.3">
      <c r="A36" s="13" t="s">
        <v>52</v>
      </c>
      <c r="B36" s="13"/>
      <c r="C36" s="18">
        <f>C31-C34</f>
        <v>-130043.92</v>
      </c>
      <c r="D36" s="18">
        <f t="shared" ref="D36:N36" si="22">D31-D34</f>
        <v>-125338.51999999999</v>
      </c>
      <c r="E36" s="18">
        <f t="shared" si="22"/>
        <v>-120805.92000000001</v>
      </c>
      <c r="F36" s="18">
        <f t="shared" si="22"/>
        <v>-115237.776</v>
      </c>
      <c r="G36" s="18">
        <f t="shared" si="22"/>
        <v>-107428.23232000001</v>
      </c>
      <c r="H36" s="18">
        <f t="shared" si="22"/>
        <v>-99861.460198400004</v>
      </c>
      <c r="I36" s="18">
        <f t="shared" si="22"/>
        <v>-31268.432222208008</v>
      </c>
      <c r="J36" s="18">
        <f>J31-J34</f>
        <v>-2801.7768888729915</v>
      </c>
      <c r="K36" s="18">
        <f t="shared" si="22"/>
        <v>27932.881884462287</v>
      </c>
      <c r="L36" s="18">
        <f t="shared" si="22"/>
        <v>68721.854910597729</v>
      </c>
      <c r="M36" s="18">
        <f t="shared" si="22"/>
        <v>116910.22149986948</v>
      </c>
      <c r="N36" s="41">
        <f t="shared" si="22"/>
        <v>169837.56007985375</v>
      </c>
      <c r="O36" s="43">
        <f t="shared" si="17"/>
        <v>-349383.5192546976</v>
      </c>
    </row>
    <row r="37" spans="1:15" x14ac:dyDescent="0.3">
      <c r="A37" t="s">
        <v>56</v>
      </c>
      <c r="C37" t="str">
        <f>IF(C36&gt;0,C36*$R$18,"N/A")</f>
        <v>N/A</v>
      </c>
      <c r="D37" t="str">
        <f t="shared" ref="D37:N37" si="23">IF(D36&gt;0,D36*$R$18,"N/A")</f>
        <v>N/A</v>
      </c>
      <c r="E37" t="str">
        <f t="shared" si="23"/>
        <v>N/A</v>
      </c>
      <c r="F37" t="str">
        <f t="shared" si="23"/>
        <v>N/A</v>
      </c>
      <c r="G37" t="str">
        <f t="shared" si="23"/>
        <v>N/A</v>
      </c>
      <c r="H37" t="str">
        <f t="shared" si="23"/>
        <v>N/A</v>
      </c>
      <c r="I37" t="str">
        <f t="shared" si="23"/>
        <v>N/A</v>
      </c>
      <c r="J37" t="str">
        <f t="shared" si="23"/>
        <v>N/A</v>
      </c>
      <c r="K37">
        <f t="shared" si="23"/>
        <v>8379.8645653386866</v>
      </c>
      <c r="L37">
        <f t="shared" si="23"/>
        <v>20616.556473179317</v>
      </c>
      <c r="M37">
        <f t="shared" si="23"/>
        <v>35073.066449960847</v>
      </c>
      <c r="N37" s="36">
        <f t="shared" si="23"/>
        <v>50951.268023956123</v>
      </c>
      <c r="O37" s="3">
        <f>SUM(C37:N37)</f>
        <v>115020.75551243497</v>
      </c>
    </row>
    <row r="38" spans="1:15" x14ac:dyDescent="0.3">
      <c r="N38" s="36"/>
      <c r="O38" s="3"/>
    </row>
    <row r="39" spans="1:15" x14ac:dyDescent="0.3">
      <c r="A39" s="46" t="s">
        <v>58</v>
      </c>
      <c r="B39" s="47"/>
      <c r="C39" s="48">
        <f>IFERROR(C36-C37,C36)</f>
        <v>-130043.92</v>
      </c>
      <c r="D39" s="48">
        <f t="shared" ref="D39:N39" si="24">IFERROR(D36-D37,D36)</f>
        <v>-125338.51999999999</v>
      </c>
      <c r="E39" s="48">
        <f t="shared" si="24"/>
        <v>-120805.92000000001</v>
      </c>
      <c r="F39" s="48">
        <f t="shared" si="24"/>
        <v>-115237.776</v>
      </c>
      <c r="G39" s="48">
        <f t="shared" si="24"/>
        <v>-107428.23232000001</v>
      </c>
      <c r="H39" s="48">
        <f t="shared" si="24"/>
        <v>-99861.460198400004</v>
      </c>
      <c r="I39" s="48">
        <f t="shared" si="24"/>
        <v>-31268.432222208008</v>
      </c>
      <c r="J39" s="48">
        <f t="shared" si="24"/>
        <v>-2801.7768888729915</v>
      </c>
      <c r="K39" s="48">
        <f t="shared" si="24"/>
        <v>19553.017319123603</v>
      </c>
      <c r="L39" s="48">
        <f t="shared" si="24"/>
        <v>48105.298437418416</v>
      </c>
      <c r="M39" s="48">
        <f t="shared" si="24"/>
        <v>81837.155049908644</v>
      </c>
      <c r="N39" s="49">
        <f t="shared" si="24"/>
        <v>118886.29205589762</v>
      </c>
      <c r="O39" s="50">
        <f t="shared" si="17"/>
        <v>-464404.27476713259</v>
      </c>
    </row>
    <row r="40" spans="1:15" ht="15" customHeight="1" x14ac:dyDescent="0.3"/>
    <row r="41" spans="1:15" s="51" customFormat="1" ht="17.399999999999999" x14ac:dyDescent="0.35">
      <c r="A41" s="85" t="s">
        <v>83</v>
      </c>
      <c r="B41" s="85"/>
      <c r="C41" s="85"/>
      <c r="D41" s="85"/>
      <c r="E41" s="85"/>
      <c r="F41" s="85"/>
      <c r="G41" s="85"/>
      <c r="H41" s="85"/>
      <c r="I41" s="85"/>
      <c r="J41" s="85"/>
      <c r="K41" s="85"/>
      <c r="L41" s="85"/>
      <c r="M41" s="85"/>
      <c r="N41" s="85"/>
      <c r="O41" s="85"/>
    </row>
    <row r="42" spans="1:15" x14ac:dyDescent="0.3">
      <c r="A42" t="s">
        <v>84</v>
      </c>
      <c r="C42" s="6">
        <f>C21/C12</f>
        <v>2000</v>
      </c>
      <c r="D42" s="6">
        <f t="shared" ref="D42:N42" si="25">D21/D12</f>
        <v>1920.0000000000002</v>
      </c>
      <c r="E42" s="6">
        <f t="shared" si="25"/>
        <v>1881.6000000000006</v>
      </c>
      <c r="F42" s="6">
        <f t="shared" si="25"/>
        <v>1873.2373333333339</v>
      </c>
      <c r="G42" s="6">
        <f t="shared" si="25"/>
        <v>1888.2232320000007</v>
      </c>
      <c r="H42" s="6">
        <f t="shared" si="25"/>
        <v>1922.5545634909101</v>
      </c>
      <c r="I42" s="6">
        <f t="shared" si="25"/>
        <v>1973.8226851840011</v>
      </c>
      <c r="J42" s="6">
        <f t="shared" si="25"/>
        <v>1894.8697777766413</v>
      </c>
      <c r="K42" s="6">
        <f t="shared" si="25"/>
        <v>1980.7705410358492</v>
      </c>
      <c r="L42" s="6">
        <f t="shared" si="25"/>
        <v>1957.4673582001337</v>
      </c>
      <c r="M42" s="6">
        <f t="shared" si="25"/>
        <v>1863.5089250065273</v>
      </c>
      <c r="N42" s="6">
        <f t="shared" si="25"/>
        <v>1897.3909054611913</v>
      </c>
      <c r="O42" s="6">
        <f>O21/O12</f>
        <v>1917.8648957264754</v>
      </c>
    </row>
    <row r="43" spans="1:15" x14ac:dyDescent="0.3">
      <c r="A43" t="s">
        <v>85</v>
      </c>
      <c r="C43" s="3">
        <f>C28/C13</f>
        <v>1499</v>
      </c>
      <c r="D43" s="3">
        <f t="shared" ref="D43:O43" si="26">D28/D13</f>
        <v>1499</v>
      </c>
      <c r="E43" s="3">
        <f t="shared" si="26"/>
        <v>1499</v>
      </c>
      <c r="F43" s="3">
        <f t="shared" si="26"/>
        <v>1499</v>
      </c>
      <c r="G43" s="3">
        <f t="shared" si="26"/>
        <v>1499</v>
      </c>
      <c r="H43" s="3">
        <f t="shared" si="26"/>
        <v>1499</v>
      </c>
      <c r="I43" s="3">
        <f t="shared" si="26"/>
        <v>2999</v>
      </c>
      <c r="J43" s="3">
        <f t="shared" si="26"/>
        <v>2999</v>
      </c>
      <c r="K43" s="3">
        <f t="shared" si="26"/>
        <v>2999</v>
      </c>
      <c r="L43" s="3">
        <f t="shared" si="26"/>
        <v>2999</v>
      </c>
      <c r="M43" s="3">
        <f t="shared" si="26"/>
        <v>2999</v>
      </c>
      <c r="N43" s="3">
        <f t="shared" si="26"/>
        <v>2999</v>
      </c>
      <c r="O43" s="3">
        <f t="shared" si="26"/>
        <v>2582.9041095890411</v>
      </c>
    </row>
    <row r="44" spans="1:15" x14ac:dyDescent="0.3">
      <c r="A44" t="s">
        <v>86</v>
      </c>
      <c r="C44" s="3">
        <f>C31/C13</f>
        <v>1229.0800000000002</v>
      </c>
      <c r="D44" s="3">
        <f t="shared" ref="D44:O44" si="27">D31/D13</f>
        <v>1229.0800000000002</v>
      </c>
      <c r="E44" s="3">
        <f t="shared" si="27"/>
        <v>1229.0800000000002</v>
      </c>
      <c r="F44" s="3">
        <f t="shared" si="27"/>
        <v>1229.08</v>
      </c>
      <c r="G44" s="3">
        <f t="shared" si="27"/>
        <v>1229.08</v>
      </c>
      <c r="H44" s="3">
        <f t="shared" si="27"/>
        <v>1229.08</v>
      </c>
      <c r="I44" s="3">
        <f t="shared" si="27"/>
        <v>2609.08</v>
      </c>
      <c r="J44" s="3">
        <f t="shared" si="27"/>
        <v>2609.08</v>
      </c>
      <c r="K44" s="3">
        <f t="shared" si="27"/>
        <v>2609.0800000000004</v>
      </c>
      <c r="L44" s="3">
        <f t="shared" si="27"/>
        <v>2609.08</v>
      </c>
      <c r="M44" s="3">
        <f t="shared" si="27"/>
        <v>2609.0800000000004</v>
      </c>
      <c r="N44" s="3">
        <f t="shared" si="27"/>
        <v>2609.08</v>
      </c>
      <c r="O44" s="3">
        <f t="shared" si="27"/>
        <v>2226.2717808219177</v>
      </c>
    </row>
    <row r="45" spans="1:15" x14ac:dyDescent="0.3">
      <c r="A45" t="s">
        <v>87</v>
      </c>
      <c r="C45" s="8">
        <f>C42/C44</f>
        <v>1.6272333778110455</v>
      </c>
      <c r="D45" s="8">
        <f t="shared" ref="D45:N45" si="28">D42/D44</f>
        <v>1.5621440426986037</v>
      </c>
      <c r="E45" s="8">
        <f t="shared" si="28"/>
        <v>1.530901161844632</v>
      </c>
      <c r="F45" s="8">
        <f t="shared" si="28"/>
        <v>1.5240971566808785</v>
      </c>
      <c r="G45" s="8">
        <f t="shared" si="28"/>
        <v>1.5362899339343254</v>
      </c>
      <c r="H45" s="8">
        <f t="shared" si="28"/>
        <v>1.5642224781876772</v>
      </c>
      <c r="I45" s="8">
        <f t="shared" si="28"/>
        <v>0.75652056862342321</v>
      </c>
      <c r="J45" s="8">
        <f t="shared" si="28"/>
        <v>0.72625974587848641</v>
      </c>
      <c r="K45" s="8">
        <f t="shared" si="28"/>
        <v>0.75918352102497777</v>
      </c>
      <c r="L45" s="8">
        <f t="shared" si="28"/>
        <v>0.75025195018939006</v>
      </c>
      <c r="M45" s="8">
        <f t="shared" si="28"/>
        <v>0.7142398565802992</v>
      </c>
      <c r="N45" s="8">
        <f t="shared" si="28"/>
        <v>0.72722603579085021</v>
      </c>
      <c r="O45" s="8">
        <f>O42/O44</f>
        <v>0.86146934630704364</v>
      </c>
    </row>
    <row r="47" spans="1:15" x14ac:dyDescent="0.3">
      <c r="C47" s="8"/>
      <c r="D47" s="8"/>
      <c r="E47" s="8"/>
      <c r="F47" s="8"/>
      <c r="G47" s="8"/>
      <c r="H47" s="8"/>
      <c r="I47" s="8"/>
      <c r="J47" s="8"/>
      <c r="K47" s="8"/>
      <c r="L47" s="8"/>
      <c r="M47" s="8"/>
      <c r="N47" s="8"/>
      <c r="O47" s="8"/>
    </row>
  </sheetData>
  <mergeCells count="4">
    <mergeCell ref="A1:O1"/>
    <mergeCell ref="A27:O27"/>
    <mergeCell ref="A2:A3"/>
    <mergeCell ref="A41:O41"/>
  </mergeCells>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0FE3D-9C7C-444B-A9E4-C29B093EEDDF}">
  <sheetPr>
    <tabColor theme="3" tint="0.499984740745262"/>
  </sheetPr>
  <dimension ref="A1:D15"/>
  <sheetViews>
    <sheetView topLeftCell="A4" workbookViewId="0">
      <selection activeCell="A13" sqref="A13"/>
    </sheetView>
  </sheetViews>
  <sheetFormatPr defaultRowHeight="14.4" x14ac:dyDescent="0.3"/>
  <cols>
    <col min="1" max="1" width="25" bestFit="1" customWidth="1"/>
    <col min="2" max="2" width="28.33203125" customWidth="1"/>
    <col min="3" max="3" width="11.33203125" customWidth="1"/>
    <col min="4" max="4" width="10.88671875" customWidth="1"/>
  </cols>
  <sheetData>
    <row r="1" spans="1:4" ht="17.399999999999999" customHeight="1" x14ac:dyDescent="0.3">
      <c r="A1" s="86" t="s">
        <v>90</v>
      </c>
      <c r="B1" s="86"/>
      <c r="C1" s="60"/>
      <c r="D1" s="60"/>
    </row>
    <row r="2" spans="1:4" ht="14.4" customHeight="1" x14ac:dyDescent="0.3">
      <c r="A2" s="86"/>
      <c r="B2" s="86"/>
      <c r="C2" s="60"/>
      <c r="D2" s="60"/>
    </row>
    <row r="3" spans="1:4" x14ac:dyDescent="0.3">
      <c r="A3" s="61" t="s">
        <v>74</v>
      </c>
      <c r="B3" s="1" t="s">
        <v>75</v>
      </c>
      <c r="C3" s="52"/>
      <c r="D3" s="52"/>
    </row>
    <row r="4" spans="1:4" x14ac:dyDescent="0.3">
      <c r="A4" s="62" t="s">
        <v>76</v>
      </c>
      <c r="B4" s="53">
        <f>'12 Month Revenue'!$O$7</f>
        <v>42424.736074330998</v>
      </c>
      <c r="C4" s="57"/>
      <c r="D4" s="57"/>
    </row>
    <row r="5" spans="1:4" x14ac:dyDescent="0.3">
      <c r="A5" s="62" t="s">
        <v>35</v>
      </c>
      <c r="B5" s="53">
        <f>'12 Month Revenue'!$O$13</f>
        <v>876</v>
      </c>
      <c r="C5" s="57"/>
      <c r="D5" s="57"/>
    </row>
    <row r="6" spans="1:4" x14ac:dyDescent="0.3">
      <c r="A6" s="62" t="s">
        <v>77</v>
      </c>
      <c r="B6" s="54">
        <f>'12 Month Revenue'!$O$28</f>
        <v>2262624</v>
      </c>
      <c r="C6" s="58"/>
      <c r="D6" s="58"/>
    </row>
    <row r="7" spans="1:4" x14ac:dyDescent="0.3">
      <c r="A7" s="62" t="s">
        <v>50</v>
      </c>
      <c r="B7" s="54">
        <f>'12 Month Revenue'!$O$31</f>
        <v>1950214.0799999998</v>
      </c>
      <c r="C7" s="58"/>
      <c r="D7" s="58"/>
    </row>
    <row r="8" spans="1:4" x14ac:dyDescent="0.3">
      <c r="A8" s="62" t="s">
        <v>78</v>
      </c>
      <c r="B8" s="55">
        <f>'12 Month Revenue'!$O$32</f>
        <v>0.86192583478297757</v>
      </c>
      <c r="C8" s="59"/>
      <c r="D8" s="59"/>
    </row>
    <row r="9" spans="1:4" x14ac:dyDescent="0.3">
      <c r="A9" s="62" t="s">
        <v>79</v>
      </c>
      <c r="B9" s="54">
        <f>'12 Month Revenue'!$O$34</f>
        <v>2299597.5992546976</v>
      </c>
      <c r="C9" s="58"/>
      <c r="D9" s="58"/>
    </row>
    <row r="10" spans="1:4" x14ac:dyDescent="0.3">
      <c r="A10" s="62" t="s">
        <v>80</v>
      </c>
      <c r="B10" s="56">
        <f>'12 Month Revenue'!$O$36</f>
        <v>-349383.5192546976</v>
      </c>
      <c r="C10" s="58"/>
      <c r="D10" s="58"/>
    </row>
    <row r="11" spans="1:4" x14ac:dyDescent="0.3">
      <c r="A11" s="62" t="s">
        <v>81</v>
      </c>
      <c r="B11" s="56">
        <f>'12 Month Revenue'!$O$39</f>
        <v>-464404.27476713259</v>
      </c>
      <c r="C11" s="58"/>
      <c r="D11" s="58"/>
    </row>
    <row r="12" spans="1:4" x14ac:dyDescent="0.3">
      <c r="A12" s="62" t="s">
        <v>84</v>
      </c>
      <c r="B12" s="54">
        <f>'12 Month Revenue'!$O$42</f>
        <v>1917.8648957264754</v>
      </c>
      <c r="C12" s="59"/>
      <c r="D12" s="59"/>
    </row>
    <row r="13" spans="1:4" x14ac:dyDescent="0.3">
      <c r="A13" s="62" t="s">
        <v>85</v>
      </c>
      <c r="B13" s="54">
        <f>'12 Month Revenue'!$O43</f>
        <v>2582.9041095890411</v>
      </c>
      <c r="C13" s="58"/>
      <c r="D13" s="58"/>
    </row>
    <row r="14" spans="1:4" x14ac:dyDescent="0.3">
      <c r="A14" s="62" t="s">
        <v>86</v>
      </c>
      <c r="B14" s="54">
        <f>'12 Month Revenue'!$O44</f>
        <v>2226.2717808219177</v>
      </c>
      <c r="C14" s="58"/>
      <c r="D14" s="58"/>
    </row>
    <row r="15" spans="1:4" x14ac:dyDescent="0.3">
      <c r="A15" s="62" t="s">
        <v>87</v>
      </c>
      <c r="B15" s="54">
        <f>'12 Month Revenue'!$O45</f>
        <v>0.86146934630704364</v>
      </c>
    </row>
  </sheetData>
  <mergeCells count="1">
    <mergeCell ref="A1:B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3E47-CBF0-416E-AC75-A95A4B682353}">
  <sheetPr>
    <tabColor theme="5" tint="0.39997558519241921"/>
  </sheetPr>
  <dimension ref="A1:O9"/>
  <sheetViews>
    <sheetView workbookViewId="0">
      <selection activeCell="A9" sqref="A9"/>
    </sheetView>
  </sheetViews>
  <sheetFormatPr defaultRowHeight="14.4" x14ac:dyDescent="0.3"/>
  <cols>
    <col min="1" max="1" width="32" customWidth="1"/>
    <col min="3" max="3" width="17.6640625" customWidth="1"/>
    <col min="4" max="4" width="17.88671875" customWidth="1"/>
    <col min="5" max="5" width="18" customWidth="1"/>
  </cols>
  <sheetData>
    <row r="1" spans="1:15" ht="23.4" x14ac:dyDescent="0.3">
      <c r="A1" s="81" t="s">
        <v>103</v>
      </c>
      <c r="B1" s="81"/>
      <c r="C1" s="81"/>
      <c r="D1" s="81"/>
      <c r="E1" s="81"/>
      <c r="F1" s="70"/>
      <c r="G1" s="70"/>
      <c r="H1" s="70"/>
      <c r="I1" s="70"/>
      <c r="J1" s="70"/>
      <c r="K1" s="70"/>
      <c r="L1" s="70"/>
      <c r="M1" s="70"/>
      <c r="N1" s="70"/>
      <c r="O1" s="70"/>
    </row>
    <row r="2" spans="1:15" ht="28.8" customHeight="1" x14ac:dyDescent="0.3">
      <c r="A2" s="67" t="s">
        <v>104</v>
      </c>
      <c r="B2" s="29"/>
      <c r="C2" s="19" t="s">
        <v>107</v>
      </c>
      <c r="D2" s="19" t="s">
        <v>105</v>
      </c>
      <c r="E2" s="19" t="s">
        <v>106</v>
      </c>
      <c r="F2" s="69"/>
      <c r="G2" s="69"/>
      <c r="H2" s="69"/>
      <c r="I2" s="69"/>
      <c r="J2" s="69"/>
      <c r="K2" s="69"/>
      <c r="L2" s="69"/>
      <c r="M2" s="69"/>
      <c r="N2" s="69"/>
      <c r="O2" s="68"/>
    </row>
    <row r="3" spans="1:15" x14ac:dyDescent="0.3">
      <c r="A3" s="71" t="s">
        <v>108</v>
      </c>
      <c r="B3" s="22"/>
      <c r="C3" s="72">
        <v>0.12</v>
      </c>
      <c r="D3" s="72">
        <v>0.18</v>
      </c>
      <c r="E3" s="72">
        <v>0.22</v>
      </c>
    </row>
    <row r="4" spans="1:15" x14ac:dyDescent="0.3">
      <c r="A4" s="71" t="s">
        <v>109</v>
      </c>
      <c r="B4" s="22"/>
      <c r="C4" s="72">
        <v>0.08</v>
      </c>
      <c r="D4" s="72">
        <v>0.12</v>
      </c>
      <c r="E4" s="72">
        <v>0.16</v>
      </c>
    </row>
    <row r="5" spans="1:15" x14ac:dyDescent="0.3">
      <c r="A5" s="71" t="s">
        <v>7</v>
      </c>
      <c r="B5" s="22"/>
      <c r="C5" s="73">
        <v>2.5000000000000001E-3</v>
      </c>
      <c r="D5" s="73">
        <v>5.0000000000000001E-3</v>
      </c>
      <c r="E5" s="73">
        <v>7.4999999999999997E-3</v>
      </c>
    </row>
    <row r="6" spans="1:15" x14ac:dyDescent="0.3">
      <c r="A6" s="71" t="s">
        <v>110</v>
      </c>
      <c r="B6" s="22"/>
      <c r="C6" s="74">
        <v>25</v>
      </c>
      <c r="D6" s="74">
        <v>20</v>
      </c>
      <c r="E6" s="74">
        <v>18</v>
      </c>
    </row>
    <row r="7" spans="1:15" x14ac:dyDescent="0.3">
      <c r="A7" s="71" t="s">
        <v>9</v>
      </c>
      <c r="B7" s="22"/>
      <c r="C7" s="72">
        <v>7.0000000000000007E-2</v>
      </c>
      <c r="D7" s="72">
        <v>0.05</v>
      </c>
      <c r="E7" s="72">
        <v>0.04</v>
      </c>
    </row>
    <row r="8" spans="1:15" ht="20.399999999999999" customHeight="1" x14ac:dyDescent="0.3">
      <c r="A8" s="79" t="s">
        <v>111</v>
      </c>
    </row>
    <row r="9" spans="1:15" x14ac:dyDescent="0.3">
      <c r="A9" s="75" t="s">
        <v>105</v>
      </c>
    </row>
  </sheetData>
  <mergeCells count="1">
    <mergeCell ref="A1:E1"/>
  </mergeCells>
  <dataValidations count="1">
    <dataValidation type="list" allowBlank="1" showInputMessage="1" showErrorMessage="1" sqref="A9" xr:uid="{CF59A47B-37E2-46AC-90E7-E82FCC633F95}">
      <formula1>"Bear, Base, Bull"</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11D50-4507-491D-83B4-A81CC4116023}">
  <sheetPr>
    <tabColor rgb="FFFFCC66"/>
  </sheetPr>
  <dimension ref="A1:P24"/>
  <sheetViews>
    <sheetView zoomScale="88" zoomScaleNormal="88" workbookViewId="0">
      <pane xSplit="1" ySplit="3" topLeftCell="B4" activePane="bottomRight" state="frozen"/>
      <selection pane="topRight" activeCell="B1" sqref="B1"/>
      <selection pane="bottomLeft" activeCell="A4" sqref="A4"/>
      <selection pane="bottomRight" activeCell="B18" sqref="B18"/>
    </sheetView>
  </sheetViews>
  <sheetFormatPr defaultRowHeight="14.4" x14ac:dyDescent="0.3"/>
  <cols>
    <col min="1" max="1" width="31.6640625" bestFit="1" customWidth="1"/>
    <col min="2" max="15" width="13.6640625" bestFit="1" customWidth="1"/>
    <col min="16" max="16" width="13.21875" bestFit="1" customWidth="1"/>
  </cols>
  <sheetData>
    <row r="1" spans="1:16" ht="23.4" x14ac:dyDescent="0.3">
      <c r="A1" s="81" t="s">
        <v>92</v>
      </c>
      <c r="B1" s="81"/>
      <c r="C1" s="81"/>
      <c r="D1" s="81"/>
      <c r="E1" s="81"/>
      <c r="F1" s="81"/>
      <c r="G1" s="81"/>
      <c r="H1" s="81"/>
      <c r="I1" s="81"/>
      <c r="J1" s="81"/>
      <c r="K1" s="81"/>
      <c r="L1" s="81"/>
      <c r="M1" s="81"/>
      <c r="N1" s="81"/>
      <c r="O1" s="81"/>
    </row>
    <row r="2" spans="1:16" x14ac:dyDescent="0.3">
      <c r="A2" s="84" t="s">
        <v>59</v>
      </c>
      <c r="B2" s="29"/>
      <c r="C2" s="19" t="s">
        <v>15</v>
      </c>
      <c r="D2" s="19" t="s">
        <v>16</v>
      </c>
      <c r="E2" s="19" t="s">
        <v>17</v>
      </c>
      <c r="F2" s="19" t="s">
        <v>18</v>
      </c>
      <c r="G2" s="19" t="s">
        <v>19</v>
      </c>
      <c r="H2" s="19" t="s">
        <v>20</v>
      </c>
      <c r="I2" s="19" t="s">
        <v>21</v>
      </c>
      <c r="J2" s="19" t="s">
        <v>22</v>
      </c>
      <c r="K2" s="19" t="s">
        <v>23</v>
      </c>
      <c r="L2" s="19" t="s">
        <v>24</v>
      </c>
      <c r="M2" s="19" t="s">
        <v>25</v>
      </c>
      <c r="N2" s="19" t="s">
        <v>26</v>
      </c>
      <c r="O2" s="29" t="s">
        <v>72</v>
      </c>
    </row>
    <row r="3" spans="1:16" x14ac:dyDescent="0.3">
      <c r="A3" s="84"/>
      <c r="B3" s="29"/>
      <c r="C3" s="30" t="s">
        <v>60</v>
      </c>
      <c r="D3" s="30" t="s">
        <v>61</v>
      </c>
      <c r="E3" s="30" t="s">
        <v>62</v>
      </c>
      <c r="F3" s="30" t="s">
        <v>63</v>
      </c>
      <c r="G3" s="30" t="s">
        <v>64</v>
      </c>
      <c r="H3" s="30" t="s">
        <v>65</v>
      </c>
      <c r="I3" s="30" t="s">
        <v>66</v>
      </c>
      <c r="J3" s="30" t="s">
        <v>67</v>
      </c>
      <c r="K3" s="30" t="s">
        <v>68</v>
      </c>
      <c r="L3" s="30" t="s">
        <v>69</v>
      </c>
      <c r="M3" s="30" t="s">
        <v>70</v>
      </c>
      <c r="N3" s="30" t="s">
        <v>71</v>
      </c>
      <c r="O3" s="31" t="s">
        <v>73</v>
      </c>
    </row>
    <row r="4" spans="1:16" x14ac:dyDescent="0.3">
      <c r="A4" t="s">
        <v>93</v>
      </c>
      <c r="C4" s="3">
        <f>'12 Month Revenue'!R19</f>
        <v>5000000</v>
      </c>
      <c r="D4" s="63">
        <f>C6</f>
        <v>4869956.08</v>
      </c>
      <c r="E4" s="63">
        <f t="shared" ref="E4:N4" si="0">D6</f>
        <v>4744617.5600000005</v>
      </c>
      <c r="F4" s="63">
        <f t="shared" si="0"/>
        <v>4623811.6400000006</v>
      </c>
      <c r="G4" s="63">
        <f t="shared" si="0"/>
        <v>4508573.864000001</v>
      </c>
      <c r="H4" s="63">
        <f t="shared" si="0"/>
        <v>4401145.6316800006</v>
      </c>
      <c r="I4" s="63">
        <f t="shared" si="0"/>
        <v>4301284.171481601</v>
      </c>
      <c r="J4" s="63">
        <f t="shared" si="0"/>
        <v>4270015.739259393</v>
      </c>
      <c r="K4" s="63">
        <f t="shared" si="0"/>
        <v>4267213.9623705195</v>
      </c>
      <c r="L4" s="63">
        <f t="shared" si="0"/>
        <v>4286766.9796896428</v>
      </c>
      <c r="M4" s="63">
        <f t="shared" si="0"/>
        <v>4334872.2781270612</v>
      </c>
      <c r="N4" s="63">
        <f t="shared" si="0"/>
        <v>4416709.4331769701</v>
      </c>
      <c r="O4" s="63"/>
    </row>
    <row r="5" spans="1:16" x14ac:dyDescent="0.3">
      <c r="A5" t="s">
        <v>94</v>
      </c>
      <c r="C5" s="63">
        <f>'12 Month Revenue'!C39</f>
        <v>-130043.92</v>
      </c>
      <c r="D5" s="63">
        <f>'12 Month Revenue'!D39</f>
        <v>-125338.51999999999</v>
      </c>
      <c r="E5" s="63">
        <f>'12 Month Revenue'!E39</f>
        <v>-120805.92000000001</v>
      </c>
      <c r="F5" s="63">
        <f>'12 Month Revenue'!F39</f>
        <v>-115237.776</v>
      </c>
      <c r="G5" s="63">
        <f>'12 Month Revenue'!G39</f>
        <v>-107428.23232000001</v>
      </c>
      <c r="H5" s="63">
        <f>'12 Month Revenue'!H39</f>
        <v>-99861.460198400004</v>
      </c>
      <c r="I5" s="63">
        <f>'12 Month Revenue'!I39</f>
        <v>-31268.432222208008</v>
      </c>
      <c r="J5" s="63">
        <f>'12 Month Revenue'!J39</f>
        <v>-2801.7768888729915</v>
      </c>
      <c r="K5" s="63">
        <f>'12 Month Revenue'!K39</f>
        <v>19553.017319123603</v>
      </c>
      <c r="L5" s="63">
        <f>'12 Month Revenue'!L39</f>
        <v>48105.298437418416</v>
      </c>
      <c r="M5" s="63">
        <f>'12 Month Revenue'!M39</f>
        <v>81837.155049908644</v>
      </c>
      <c r="N5" s="63">
        <f>'12 Month Revenue'!N39</f>
        <v>118886.29205589762</v>
      </c>
      <c r="O5" s="63">
        <f>SUM(C5:N5)</f>
        <v>-464404.27476713259</v>
      </c>
      <c r="P5" s="63"/>
    </row>
    <row r="6" spans="1:16" x14ac:dyDescent="0.3">
      <c r="A6" t="s">
        <v>95</v>
      </c>
      <c r="C6" s="63">
        <f>C4+C5</f>
        <v>4869956.08</v>
      </c>
      <c r="D6" s="63">
        <f>D4+D5</f>
        <v>4744617.5600000005</v>
      </c>
      <c r="E6" s="63">
        <f>E4+E5</f>
        <v>4623811.6400000006</v>
      </c>
      <c r="F6" s="63">
        <f>F4+F5</f>
        <v>4508573.864000001</v>
      </c>
      <c r="G6" s="63">
        <f>G4+G5</f>
        <v>4401145.6316800006</v>
      </c>
      <c r="H6" s="63">
        <f t="shared" ref="H6:I6" si="1">H4+H5</f>
        <v>4301284.171481601</v>
      </c>
      <c r="I6" s="63">
        <f t="shared" si="1"/>
        <v>4270015.739259393</v>
      </c>
      <c r="J6" s="63">
        <f t="shared" ref="J6" si="2">J4+J5</f>
        <v>4267213.9623705195</v>
      </c>
      <c r="K6" s="63">
        <f t="shared" ref="K6" si="3">K4+K5</f>
        <v>4286766.9796896428</v>
      </c>
      <c r="L6" s="63">
        <f t="shared" ref="L6" si="4">L4+L5</f>
        <v>4334872.2781270612</v>
      </c>
      <c r="M6" s="63">
        <f t="shared" ref="M6" si="5">M4+M5</f>
        <v>4416709.4331769701</v>
      </c>
      <c r="N6" s="63">
        <f t="shared" ref="N6" si="6">N4+N5</f>
        <v>4535595.7252328675</v>
      </c>
      <c r="O6" s="63">
        <f>N6</f>
        <v>4535595.7252328675</v>
      </c>
    </row>
    <row r="10" spans="1:16" x14ac:dyDescent="0.3">
      <c r="A10" s="87" t="s">
        <v>96</v>
      </c>
      <c r="B10" s="65"/>
      <c r="D10" s="66"/>
    </row>
    <row r="11" spans="1:16" x14ac:dyDescent="0.3">
      <c r="A11" s="87"/>
      <c r="B11" s="65"/>
      <c r="D11" s="66"/>
    </row>
    <row r="12" spans="1:16" x14ac:dyDescent="0.3">
      <c r="A12" s="61" t="s">
        <v>97</v>
      </c>
      <c r="B12" s="1" t="s">
        <v>75</v>
      </c>
      <c r="D12" s="52"/>
    </row>
    <row r="13" spans="1:16" x14ac:dyDescent="0.3">
      <c r="A13" s="62" t="s">
        <v>98</v>
      </c>
      <c r="B13" s="54">
        <f>'12 Month Revenue'!R19</f>
        <v>5000000</v>
      </c>
      <c r="C13" s="57"/>
      <c r="D13" s="57"/>
    </row>
    <row r="14" spans="1:16" x14ac:dyDescent="0.3">
      <c r="A14" s="62" t="s">
        <v>99</v>
      </c>
      <c r="B14" s="56">
        <f>N6</f>
        <v>4535595.7252328675</v>
      </c>
      <c r="C14" s="57"/>
      <c r="D14" s="57"/>
    </row>
    <row r="15" spans="1:16" x14ac:dyDescent="0.3">
      <c r="A15" s="62" t="s">
        <v>100</v>
      </c>
      <c r="B15" s="54">
        <f>B13-B14</f>
        <v>464404.27476713248</v>
      </c>
      <c r="C15" s="3"/>
      <c r="D15" s="3"/>
    </row>
    <row r="16" spans="1:16" x14ac:dyDescent="0.3">
      <c r="A16" s="62" t="s">
        <v>101</v>
      </c>
      <c r="B16" s="54">
        <f>B15/12</f>
        <v>38700.356230594371</v>
      </c>
      <c r="C16" s="3"/>
      <c r="D16" s="3"/>
    </row>
    <row r="17" spans="1:4" x14ac:dyDescent="0.3">
      <c r="A17" s="62" t="s">
        <v>102</v>
      </c>
      <c r="B17" s="45">
        <f>B13/B16</f>
        <v>129.19777715243032</v>
      </c>
      <c r="C17" s="59"/>
      <c r="D17" s="59"/>
    </row>
    <row r="18" spans="1:4" x14ac:dyDescent="0.3">
      <c r="A18" s="36"/>
      <c r="C18" s="3"/>
      <c r="D18" s="3"/>
    </row>
    <row r="19" spans="1:4" x14ac:dyDescent="0.3">
      <c r="A19" s="36"/>
      <c r="C19" s="63"/>
      <c r="D19" s="63"/>
    </row>
    <row r="20" spans="1:4" x14ac:dyDescent="0.3">
      <c r="A20" s="36"/>
      <c r="C20" s="63"/>
      <c r="D20" s="63"/>
    </row>
    <row r="21" spans="1:4" x14ac:dyDescent="0.3">
      <c r="A21" s="36"/>
      <c r="C21" s="3"/>
      <c r="D21" s="3"/>
    </row>
    <row r="22" spans="1:4" x14ac:dyDescent="0.3">
      <c r="A22" s="36"/>
      <c r="C22" s="3"/>
      <c r="D22" s="3"/>
    </row>
    <row r="23" spans="1:4" x14ac:dyDescent="0.3">
      <c r="A23" s="36"/>
      <c r="C23" s="3"/>
      <c r="D23" s="3"/>
    </row>
    <row r="24" spans="1:4" x14ac:dyDescent="0.3">
      <c r="A24" s="36"/>
      <c r="C24" s="3"/>
      <c r="D24" s="3"/>
    </row>
  </sheetData>
  <mergeCells count="3">
    <mergeCell ref="A1:O1"/>
    <mergeCell ref="A2:A3"/>
    <mergeCell ref="A10:A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FB16A-A183-4241-BEA9-7ED5F2B0A417}">
  <sheetPr>
    <tabColor theme="2" tint="-0.499984740745262"/>
  </sheetPr>
  <dimension ref="A1:D30"/>
  <sheetViews>
    <sheetView zoomScale="99" workbookViewId="0">
      <selection activeCell="I32" sqref="I32"/>
    </sheetView>
  </sheetViews>
  <sheetFormatPr defaultRowHeight="14.4" x14ac:dyDescent="0.3"/>
  <sheetData>
    <row r="1" spans="1:4" x14ac:dyDescent="0.3">
      <c r="A1" s="88" t="s">
        <v>82</v>
      </c>
      <c r="B1" s="89"/>
      <c r="C1" s="89"/>
      <c r="D1" s="89"/>
    </row>
    <row r="2" spans="1:4" x14ac:dyDescent="0.3">
      <c r="A2" s="89"/>
      <c r="B2" s="89"/>
      <c r="C2" s="89"/>
      <c r="D2" s="89"/>
    </row>
    <row r="9" spans="1:4" x14ac:dyDescent="0.3">
      <c r="A9" s="88" t="s">
        <v>88</v>
      </c>
      <c r="B9" s="89"/>
      <c r="C9" s="89"/>
      <c r="D9" s="89"/>
    </row>
    <row r="10" spans="1:4" x14ac:dyDescent="0.3">
      <c r="A10" s="89"/>
      <c r="B10" s="89"/>
      <c r="C10" s="89"/>
      <c r="D10" s="89"/>
    </row>
    <row r="29" spans="1:4" ht="14.4" customHeight="1" x14ac:dyDescent="0.3">
      <c r="A29" s="90" t="s">
        <v>89</v>
      </c>
      <c r="B29" s="90"/>
      <c r="C29" s="90"/>
      <c r="D29" s="90"/>
    </row>
    <row r="30" spans="1:4" ht="14.4" customHeight="1" x14ac:dyDescent="0.3">
      <c r="A30" s="90"/>
      <c r="B30" s="90"/>
      <c r="C30" s="90"/>
      <c r="D30" s="90"/>
    </row>
  </sheetData>
  <mergeCells count="3">
    <mergeCell ref="A1:D2"/>
    <mergeCell ref="A9:D10"/>
    <mergeCell ref="A29:D3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12 Month Revenue</vt:lpstr>
      <vt:lpstr>Summary</vt:lpstr>
      <vt:lpstr>Scenario Analysis</vt:lpstr>
      <vt:lpstr>Cash Runway Analysis</vt:lpstr>
      <vt:lpstr>About&amp;Notes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Bharali</dc:creator>
  <cp:lastModifiedBy>Mayank Bharali</cp:lastModifiedBy>
  <dcterms:created xsi:type="dcterms:W3CDTF">2026-05-29T12:01:44Z</dcterms:created>
  <dcterms:modified xsi:type="dcterms:W3CDTF">2026-07-12T11:29:39Z</dcterms:modified>
</cp:coreProperties>
</file>