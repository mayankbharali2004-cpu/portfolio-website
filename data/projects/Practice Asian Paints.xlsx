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Documents\Hype's\Finance Hype\Valuation School\DCF Model\"/>
    </mc:Choice>
  </mc:AlternateContent>
  <xr:revisionPtr revIDLastSave="0" documentId="13_ncr:1_{611D65A2-E3DB-44FE-8362-0F2C1D3EB848}" xr6:coauthVersionLast="47" xr6:coauthVersionMax="47" xr10:uidLastSave="{00000000-0000-0000-0000-000000000000}"/>
  <bookViews>
    <workbookView xWindow="-108" yWindow="-108" windowWidth="23256" windowHeight="14616" xr2:uid="{D538AF77-FF3F-4B4D-A99F-4F780A7A18F4}"/>
  </bookViews>
  <sheets>
    <sheet name="DCF" sheetId="8" r:id="rId1"/>
    <sheet name="WACC" sheetId="1" r:id="rId2"/>
    <sheet name="Beta" sheetId="2" r:id="rId3"/>
    <sheet name="Rm" sheetId="4" r:id="rId4"/>
    <sheet name="Intrinsic Growth" sheetId="5" r:id="rId5"/>
    <sheet name="Raw FS" sheetId="6" r:id="rId6"/>
    <sheet name="Data Sheet" sheetId="9" r:id="rId7"/>
    <sheet name="DATA" sheetId="3" r:id="rId8"/>
  </sheets>
  <externalReferences>
    <externalReference r:id="rId9"/>
    <externalReference r:id="rId10"/>
  </externalReferences>
  <definedNames>
    <definedName name="_xlnm._FilterDatabase" localSheetId="7" hidden="1">DATA!$F$5:$G$110</definedName>
    <definedName name="UPDATE">'[1]Data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8" l="1"/>
  <c r="E40" i="8"/>
  <c r="E39" i="8"/>
  <c r="E38" i="8"/>
  <c r="E33" i="8"/>
  <c r="E29" i="8"/>
  <c r="E23" i="8"/>
  <c r="H18" i="8"/>
  <c r="G15" i="8"/>
  <c r="K43" i="1"/>
  <c r="E36" i="1"/>
  <c r="D37" i="1"/>
  <c r="D36" i="1"/>
  <c r="K30" i="1"/>
  <c r="K13" i="1"/>
  <c r="J13" i="1"/>
  <c r="K37" i="1"/>
  <c r="K28" i="1"/>
  <c r="H53" i="5" l="1"/>
  <c r="H54" i="5"/>
  <c r="G46" i="5"/>
  <c r="H47" i="5"/>
  <c r="G20" i="5"/>
  <c r="G37" i="5"/>
  <c r="G40" i="5"/>
  <c r="P8" i="2"/>
  <c r="P9" i="2"/>
  <c r="P10" i="2"/>
  <c r="E31" i="8"/>
  <c r="E45" i="8"/>
  <c r="G7" i="8"/>
  <c r="K38" i="5"/>
  <c r="J38" i="5"/>
  <c r="I38" i="5"/>
  <c r="H38" i="5"/>
  <c r="G38" i="5"/>
  <c r="G49" i="5" s="1"/>
  <c r="L33" i="9"/>
  <c r="K33" i="9"/>
  <c r="J33" i="9"/>
  <c r="I33" i="9"/>
  <c r="H33" i="9"/>
  <c r="G33" i="9"/>
  <c r="F33" i="9"/>
  <c r="E33" i="9"/>
  <c r="D33" i="9"/>
  <c r="C33" i="9"/>
  <c r="F1" i="9"/>
  <c r="C6" i="9"/>
  <c r="E43" i="8" l="1"/>
  <c r="E42" i="8"/>
  <c r="J43" i="1"/>
  <c r="I17" i="8" l="1"/>
  <c r="J17" i="8" s="1"/>
  <c r="K17" i="8" s="1"/>
  <c r="L17" i="8" s="1"/>
  <c r="H5" i="8" l="1"/>
  <c r="I5" i="8" s="1"/>
  <c r="J5" i="8" s="1"/>
  <c r="K5" i="8" s="1"/>
  <c r="L5" i="8" s="1"/>
  <c r="I53" i="5"/>
  <c r="J53" i="5"/>
  <c r="K53" i="5"/>
  <c r="K47" i="5"/>
  <c r="I47" i="5"/>
  <c r="J47" i="5"/>
  <c r="K46" i="5"/>
  <c r="J46" i="5"/>
  <c r="I46" i="5"/>
  <c r="H46" i="5"/>
  <c r="K37" i="5"/>
  <c r="J37" i="5"/>
  <c r="I37" i="5"/>
  <c r="H37" i="5"/>
  <c r="K34" i="5"/>
  <c r="J34" i="5"/>
  <c r="I34" i="5"/>
  <c r="H34" i="5"/>
  <c r="G34" i="5"/>
  <c r="K32" i="5"/>
  <c r="J32" i="5"/>
  <c r="I32" i="5"/>
  <c r="H32" i="5"/>
  <c r="G32" i="5"/>
  <c r="I20" i="5"/>
  <c r="H20" i="5"/>
  <c r="K20" i="5"/>
  <c r="J20" i="5"/>
  <c r="K18" i="5"/>
  <c r="J18" i="5"/>
  <c r="I18" i="5"/>
  <c r="H18" i="5"/>
  <c r="G18" i="5"/>
  <c r="K11" i="5"/>
  <c r="J11" i="5"/>
  <c r="I11" i="5"/>
  <c r="H11" i="5"/>
  <c r="G11" i="5"/>
  <c r="N31" i="6"/>
  <c r="M31" i="6"/>
  <c r="L31" i="6"/>
  <c r="K31" i="6"/>
  <c r="J31" i="6"/>
  <c r="I31" i="6"/>
  <c r="H31" i="6"/>
  <c r="G31" i="6"/>
  <c r="F31" i="6"/>
  <c r="E31" i="6"/>
  <c r="D31" i="6"/>
  <c r="C31" i="6"/>
  <c r="J40" i="5" l="1"/>
  <c r="J63" i="5" s="1"/>
  <c r="I49" i="5"/>
  <c r="I51" i="5" s="1"/>
  <c r="I54" i="5" s="1"/>
  <c r="I62" i="5" s="1"/>
  <c r="K49" i="5"/>
  <c r="K51" i="5" s="1"/>
  <c r="K54" i="5" s="1"/>
  <c r="K62" i="5" s="1"/>
  <c r="H40" i="5"/>
  <c r="H63" i="5" s="1"/>
  <c r="J49" i="5"/>
  <c r="J51" i="5" s="1"/>
  <c r="J54" i="5" s="1"/>
  <c r="J62" i="5" s="1"/>
  <c r="J65" i="5" l="1"/>
  <c r="G11" i="8"/>
  <c r="I40" i="5"/>
  <c r="I63" i="5" s="1"/>
  <c r="K40" i="5"/>
  <c r="K63" i="5" s="1"/>
  <c r="K65" i="5" s="1"/>
  <c r="H49" i="5"/>
  <c r="H51" i="5" s="1"/>
  <c r="K57" i="5" s="1"/>
  <c r="G13" i="8" s="1"/>
  <c r="H13" i="8" s="1"/>
  <c r="I13" i="8" s="1"/>
  <c r="J13" i="8" s="1"/>
  <c r="K13" i="8" s="1"/>
  <c r="G51" i="5"/>
  <c r="I65" i="5"/>
  <c r="H62" i="5" l="1"/>
  <c r="H65" i="5" s="1"/>
  <c r="K56" i="5"/>
  <c r="K67" i="5"/>
  <c r="K68" i="5"/>
  <c r="H7" i="8" l="1"/>
  <c r="I7" i="8" l="1"/>
  <c r="H11" i="8"/>
  <c r="H15" i="8" s="1"/>
  <c r="I11" i="8" l="1"/>
  <c r="I15" i="8" s="1"/>
  <c r="J7" i="8"/>
  <c r="K7" i="8" l="1"/>
  <c r="J11" i="8"/>
  <c r="J15" i="8" s="1"/>
  <c r="L7" i="8" l="1"/>
  <c r="L11" i="8" s="1"/>
  <c r="L15" i="8" s="1"/>
  <c r="K11" i="8"/>
  <c r="K15" i="8" s="1"/>
  <c r="K44" i="1"/>
  <c r="H9" i="4"/>
  <c r="H7" i="4"/>
  <c r="K36" i="1"/>
  <c r="E40" i="1"/>
  <c r="D40" i="1"/>
  <c r="E37" i="1"/>
  <c r="D38" i="1"/>
  <c r="E29" i="1"/>
  <c r="E28" i="1"/>
  <c r="K14" i="1"/>
  <c r="K15" i="1"/>
  <c r="K16" i="1"/>
  <c r="K17" i="1"/>
  <c r="K18" i="1"/>
  <c r="K21" i="1"/>
  <c r="H22" i="1"/>
  <c r="I22" i="1"/>
  <c r="J22" i="1"/>
  <c r="H21" i="1"/>
  <c r="I21" i="1"/>
  <c r="J21" i="1"/>
  <c r="G22" i="1"/>
  <c r="G21" i="1"/>
  <c r="M16" i="2"/>
  <c r="M10" i="2"/>
  <c r="K22" i="1" l="1"/>
  <c r="K35" i="1" s="1"/>
  <c r="K38" i="1" s="1"/>
  <c r="K29" i="1" s="1"/>
  <c r="J44" i="1" s="1"/>
  <c r="K45" i="1" s="1"/>
  <c r="E25" i="8" s="1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I14" i="1"/>
  <c r="I15" i="1"/>
  <c r="I16" i="1"/>
  <c r="I17" i="1"/>
  <c r="I18" i="1"/>
  <c r="I13" i="1"/>
  <c r="H18" i="1"/>
  <c r="H17" i="1"/>
  <c r="H16" i="1"/>
  <c r="H15" i="1"/>
  <c r="H14" i="1"/>
  <c r="H13" i="1"/>
  <c r="L18" i="8" l="1"/>
  <c r="L20" i="8" s="1"/>
  <c r="I18" i="8"/>
  <c r="I20" i="8" s="1"/>
  <c r="K18" i="8"/>
  <c r="K20" i="8" s="1"/>
  <c r="J18" i="8"/>
  <c r="J20" i="8" s="1"/>
  <c r="H20" i="8"/>
  <c r="E30" i="8"/>
  <c r="E44" i="8" l="1"/>
  <c r="E47" i="8" s="1"/>
</calcChain>
</file>

<file path=xl/sharedStrings.xml><?xml version="1.0" encoding="utf-8"?>
<sst xmlns="http://schemas.openxmlformats.org/spreadsheetml/2006/main" count="331" uniqueCount="259">
  <si>
    <t>Median</t>
  </si>
  <si>
    <t>Average</t>
  </si>
  <si>
    <t>India</t>
  </si>
  <si>
    <r>
      <t xml:space="preserve">Beta 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</si>
  <si>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 xml:space="preserve">Beta </t>
    </r>
    <r>
      <rPr>
        <vertAlign val="superscript"/>
        <sz val="11"/>
        <color theme="1"/>
        <rFont val="Aptos Narrow"/>
        <family val="2"/>
        <scheme val="minor"/>
      </rPr>
      <t>2</t>
    </r>
  </si>
  <si>
    <t>Capital</t>
  </si>
  <si>
    <t>Equity</t>
  </si>
  <si>
    <r>
      <t xml:space="preserve">Tax Rate </t>
    </r>
    <r>
      <rPr>
        <vertAlign val="superscript"/>
        <sz val="11"/>
        <color theme="1"/>
        <rFont val="Aptos Narrow"/>
        <family val="2"/>
        <scheme val="minor"/>
      </rPr>
      <t>1</t>
    </r>
  </si>
  <si>
    <t>Total Equity</t>
  </si>
  <si>
    <t>Total Debt</t>
  </si>
  <si>
    <t>Country</t>
  </si>
  <si>
    <t>Name of the Comp</t>
  </si>
  <si>
    <t xml:space="preserve">Unlevered </t>
  </si>
  <si>
    <t>Levered</t>
  </si>
  <si>
    <t>Debt /</t>
  </si>
  <si>
    <t xml:space="preserve"> Debt /</t>
  </si>
  <si>
    <t>Peer Comps</t>
  </si>
  <si>
    <t>All figures are in INR, unless stated otherwise</t>
  </si>
  <si>
    <t>Weighted Average Cost of Capital</t>
  </si>
  <si>
    <t>Asian Paints</t>
  </si>
  <si>
    <t>Berger Paints</t>
  </si>
  <si>
    <t>Kansai Nerolac</t>
  </si>
  <si>
    <t>JSW Dulux</t>
  </si>
  <si>
    <t>Indigo Paints</t>
  </si>
  <si>
    <t>Sirca Paints</t>
  </si>
  <si>
    <t>Regression Beta - 2 Years Weekly</t>
  </si>
  <si>
    <t>Date</t>
  </si>
  <si>
    <t>Adj Close </t>
  </si>
  <si>
    <t>Asian Paints Data</t>
  </si>
  <si>
    <t>Nifty Data</t>
  </si>
  <si>
    <t>Asian Paints Weekly Returns</t>
  </si>
  <si>
    <t>Nifty Weekly Returns</t>
  </si>
  <si>
    <t>Weekly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</si>
  <si>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</si>
  <si>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</si>
  <si>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</si>
  <si>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</si>
  <si>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</si>
  <si>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</si>
  <si>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</si>
  <si>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</si>
  <si>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</si>
  <si>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</si>
  <si>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</si>
  <si>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</si>
  <si>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</si>
  <si>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</si>
  <si>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</si>
  <si>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</si>
  <si>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</si>
  <si>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</si>
  <si>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</si>
  <si>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</si>
  <si>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</si>
  <si>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</si>
  <si>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</si>
  <si>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</si>
  <si>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</si>
  <si>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</si>
  <si>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</si>
  <si>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</si>
  <si>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</si>
  <si>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Leveraged Beta</t>
  </si>
  <si>
    <t>Leveraged Beta Weight</t>
  </si>
  <si>
    <t>Market Beta</t>
  </si>
  <si>
    <t>Market Beta Weight</t>
  </si>
  <si>
    <t>Adjusted Beta</t>
  </si>
  <si>
    <t>Cost Of Debt</t>
  </si>
  <si>
    <t>Cost Of Equity</t>
  </si>
  <si>
    <t>Pre-Tax Cost Of Debt</t>
  </si>
  <si>
    <t>Risk Free Rate</t>
  </si>
  <si>
    <t>Tax Rate</t>
  </si>
  <si>
    <t>Equity Risk Premium</t>
  </si>
  <si>
    <t>Post Tax Cost of Debt</t>
  </si>
  <si>
    <r>
      <t xml:space="preserve">Levered Beta </t>
    </r>
    <r>
      <rPr>
        <vertAlign val="superscript"/>
        <sz val="11"/>
        <color theme="1"/>
        <rFont val="Aptos Narrow"/>
        <family val="2"/>
        <scheme val="minor"/>
      </rPr>
      <t>4</t>
    </r>
  </si>
  <si>
    <t>Capital Structure</t>
  </si>
  <si>
    <r>
      <t xml:space="preserve">Levered Beta </t>
    </r>
    <r>
      <rPr>
        <sz val="11"/>
        <color theme="1"/>
        <rFont val="Aptos Narrow"/>
        <family val="2"/>
        <scheme val="minor"/>
      </rPr>
      <t>(using comps beta method)</t>
    </r>
  </si>
  <si>
    <t>Current</t>
  </si>
  <si>
    <t>Target</t>
  </si>
  <si>
    <t>Comps Median Unlevered Beta</t>
  </si>
  <si>
    <t>Target Debt / Equity</t>
  </si>
  <si>
    <t>Market Capitalization</t>
  </si>
  <si>
    <t>Total Capital</t>
  </si>
  <si>
    <t>Levered Beta</t>
  </si>
  <si>
    <t>Debt / Equity</t>
  </si>
  <si>
    <t>Total Cost</t>
  </si>
  <si>
    <t>Total Weight</t>
  </si>
  <si>
    <t>Notes:</t>
  </si>
  <si>
    <t>Debt</t>
  </si>
  <si>
    <t>1. Tax Rate is considered as Marginal Tax Rate for the country</t>
  </si>
  <si>
    <t>2. Levered Beta is based on 5 year monthly data</t>
  </si>
  <si>
    <t>3. Unlevered Beta = Levered Beta/(1+(1-Tax Rate)*Debt/Equity</t>
  </si>
  <si>
    <t>4. Levered Beta = Unlevered Beta*(1+(1-Tax Rate)*Debt/Equity</t>
  </si>
  <si>
    <t>Nifty Yearly returns</t>
  </si>
  <si>
    <t>Year</t>
  </si>
  <si>
    <t>Annual</t>
  </si>
  <si>
    <t>Nifty Market Returns</t>
  </si>
  <si>
    <t>Average Return</t>
  </si>
  <si>
    <t>Dividend Yield</t>
  </si>
  <si>
    <t>Total Market Return</t>
  </si>
  <si>
    <t>Equity Capital</t>
  </si>
  <si>
    <t>Reserves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</si>
  <si>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</si>
  <si>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</si>
  <si>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</si>
  <si>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</si>
  <si>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</si>
  <si>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</si>
  <si>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</si>
  <si>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</si>
  <si>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</si>
  <si>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</si>
  <si>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</si>
  <si>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</si>
  <si>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</si>
  <si>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</si>
  <si>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</si>
  <si>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</si>
  <si>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</si>
  <si>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</si>
  <si>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</si>
  <si>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</si>
  <si>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</si>
  <si>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</si>
  <si>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Cash Equivalents</t>
  </si>
  <si>
    <t>Loans n Advances</t>
  </si>
  <si>
    <t>Other asset items</t>
  </si>
  <si>
    <t>Total Assets</t>
  </si>
  <si>
    <t>Particulars</t>
  </si>
  <si>
    <t>Net Block</t>
  </si>
  <si>
    <t>Trade receivables +</t>
  </si>
  <si>
    <t xml:space="preserve">Borrowings </t>
  </si>
  <si>
    <t xml:space="preserve">Other Liabilities </t>
  </si>
  <si>
    <t xml:space="preserve">Fixed Assets </t>
  </si>
  <si>
    <t xml:space="preserve">Other Assets </t>
  </si>
  <si>
    <t>Calcuation of ROIC</t>
  </si>
  <si>
    <t>Current Assets</t>
  </si>
  <si>
    <t>Total Current Assets</t>
  </si>
  <si>
    <t>Current Liabilities</t>
  </si>
  <si>
    <t>Total Current Liabilities</t>
  </si>
  <si>
    <t>#</t>
  </si>
  <si>
    <t>Net Working Capital</t>
  </si>
  <si>
    <t>Non Current Assets</t>
  </si>
  <si>
    <t>Net Current Assets</t>
  </si>
  <si>
    <t>Invested Capital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</si>
  <si>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</si>
  <si>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</si>
  <si>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</si>
  <si>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</si>
  <si>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</si>
  <si>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</si>
  <si>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</si>
  <si>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</si>
  <si>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</si>
  <si>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</si>
  <si>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</si>
  <si>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</si>
  <si>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</si>
  <si>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</si>
  <si>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</si>
  <si>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EBIT(1-Tax Rate)</t>
  </si>
  <si>
    <t>Reinvestment</t>
  </si>
  <si>
    <t>Reinvestment Rate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</si>
  <si>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</si>
  <si>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</si>
  <si>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</si>
  <si>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</si>
  <si>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</si>
  <si>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</si>
  <si>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</si>
  <si>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</si>
  <si>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</si>
  <si>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</si>
  <si>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</si>
  <si>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</si>
  <si>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</si>
  <si>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</si>
  <si>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</si>
  <si>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</si>
  <si>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</si>
  <si>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</si>
  <si>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</si>
  <si>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</si>
  <si>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</si>
  <si>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</si>
  <si>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</si>
  <si>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</si>
  <si>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</si>
  <si>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Free Cash Flow</t>
  </si>
  <si>
    <t>CFO/OP</t>
  </si>
  <si>
    <t>Cash from Operating Activity -</t>
  </si>
  <si>
    <t>Cash from Investing Activity -</t>
  </si>
  <si>
    <t>Cash from Financing Activity -</t>
  </si>
  <si>
    <t>4 year Average</t>
  </si>
  <si>
    <t>4 year Median</t>
  </si>
  <si>
    <t>Calculation of Growth Rate</t>
  </si>
  <si>
    <t>Intrinsic Growth Rate</t>
  </si>
  <si>
    <t>4 year  Average</t>
  </si>
  <si>
    <t>Calculation of PV of FCFF</t>
  </si>
  <si>
    <t>Less: Reinvestment Rate</t>
  </si>
  <si>
    <t>Free Cash Flow to Firm (FCFF)</t>
  </si>
  <si>
    <t>Mid Year Convention</t>
  </si>
  <si>
    <t>Discounting Factor</t>
  </si>
  <si>
    <t>PV of FCFF</t>
  </si>
  <si>
    <t>Expected Growth Rate</t>
  </si>
  <si>
    <t>Terminal Growth</t>
  </si>
  <si>
    <t>WACC</t>
  </si>
  <si>
    <t>Calculation of Terminal Value</t>
  </si>
  <si>
    <t>FCFF(n+1)</t>
  </si>
  <si>
    <t>Terminal Growth Rate</t>
  </si>
  <si>
    <t>Terminal Value</t>
  </si>
  <si>
    <t>Calculation of Equity Value per Share</t>
  </si>
  <si>
    <t>PV of Terminal Value</t>
  </si>
  <si>
    <t>Enterprise Value</t>
  </si>
  <si>
    <t>Add: Cash</t>
  </si>
  <si>
    <t>Less: Debt</t>
  </si>
  <si>
    <t>Value of Equity</t>
  </si>
  <si>
    <t>No. of Shares</t>
  </si>
  <si>
    <t>Adjusted Equity Shares in Cr</t>
  </si>
  <si>
    <t>DERIVED:</t>
  </si>
  <si>
    <t>PRICE: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</si>
  <si>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</si>
  <si>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</si>
  <si>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</si>
  <si>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</si>
  <si>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</si>
  <si>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</si>
  <si>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</si>
  <si>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</si>
  <si>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</si>
  <si>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Other Assets</t>
  </si>
  <si>
    <t>Capital Work in Progress</t>
  </si>
  <si>
    <t>Other Liabilities</t>
  </si>
  <si>
    <t>Borrowings</t>
  </si>
  <si>
    <t>Equity Share Capital</t>
  </si>
  <si>
    <t>BALANCE SHEET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</si>
  <si>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</si>
  <si>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</si>
  <si>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</si>
  <si>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</si>
  <si>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</si>
  <si>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</si>
  <si>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</si>
  <si>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</si>
  <si>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</si>
  <si>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</si>
  <si>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</si>
  <si>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</si>
  <si>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</si>
  <si>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</si>
  <si>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</si>
  <si>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</si>
  <si>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</si>
  <si>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ASIAN PAINTS LTD</t>
  </si>
  <si>
    <t>COMPANY NAME</t>
  </si>
  <si>
    <t>Equity Value per Share</t>
  </si>
  <si>
    <t>Share Price</t>
  </si>
  <si>
    <t>Discount/Premium</t>
  </si>
  <si>
    <t xml:space="preserve">                     | DCF VALUATION OF ASIAN PAINTS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</si>
</sst>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"/>
    <numFmt numFmtId="165" formatCode="0.0"/>
    <numFmt numFmtId="166" formatCode="[$-409]mmm\-yy;@"/>
    <numFmt numFmtId="167" formatCode="_ * #,##0.00_ ;_ * \-#,##0.00_ ;_ * &quot;-&quot;??_ ;_ @_ "/>
    <numFmt numFmtId="168" formatCode="_(* #,##0.0_);_(* \(#,##0.0\);_(* &quot;-&quot;??_);_(@_)"/>
    <numFmt numFmtId="169" formatCode="0.0_);\(0.0\)"/>
    <numFmt numFmtId="170" formatCode="mmm/yy\'\A\'"/>
    <numFmt numFmtId="171" formatCode="mmm/yy\'\F\'"/>
    <numFmt numFmtId="172" formatCode="0.00\x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FF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b/>
      <sz val="1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5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14">
    <xf numFmtId="0" fontId="0" fillId="0" borderId="0" xfId="0"/>
    <xf numFmtId="2" fontId="0" fillId="0" borderId="1" xfId="0" applyNumberFormat="1" applyBorder="1"/>
    <xf numFmtId="10" fontId="0" fillId="0" borderId="1" xfId="0" applyNumberFormat="1" applyBorder="1"/>
    <xf numFmtId="9" fontId="0" fillId="0" borderId="1" xfId="0" applyNumberFormat="1" applyBorder="1"/>
    <xf numFmtId="0" fontId="3" fillId="0" borderId="1" xfId="0" applyFont="1" applyBorder="1"/>
    <xf numFmtId="2" fontId="0" fillId="0" borderId="2" xfId="0" applyNumberFormat="1" applyBorder="1"/>
    <xf numFmtId="10" fontId="0" fillId="0" borderId="2" xfId="0" applyNumberFormat="1" applyBorder="1"/>
    <xf numFmtId="9" fontId="0" fillId="0" borderId="2" xfId="0" applyNumberFormat="1" applyBorder="1"/>
    <xf numFmtId="0" fontId="3" fillId="0" borderId="2" xfId="0" applyFont="1" applyBorder="1"/>
    <xf numFmtId="2" fontId="0" fillId="2" borderId="0" xfId="0" applyNumberFormat="1" applyFill="1"/>
    <xf numFmtId="2" fontId="4" fillId="0" borderId="0" xfId="0" applyNumberFormat="1" applyFont="1"/>
    <xf numFmtId="10" fontId="0" fillId="2" borderId="0" xfId="1" applyNumberFormat="1" applyFont="1" applyFill="1"/>
    <xf numFmtId="10" fontId="4" fillId="0" borderId="0" xfId="1" applyNumberFormat="1" applyFont="1"/>
    <xf numFmtId="0" fontId="4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/>
    <xf numFmtId="0" fontId="6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" fillId="3" borderId="0" xfId="0" applyFont="1" applyFill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3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0" fillId="4" borderId="0" xfId="0" applyFill="1"/>
    <xf numFmtId="0" fontId="0" fillId="2" borderId="0" xfId="0" applyFill="1"/>
    <xf numFmtId="10" fontId="4" fillId="0" borderId="0" xfId="0" applyNumberFormat="1" applyFont="1"/>
    <xf numFmtId="10" fontId="7" fillId="0" borderId="0" xfId="0" applyNumberFormat="1" applyFont="1"/>
    <xf numFmtId="0" fontId="0" fillId="0" borderId="5" xfId="0" applyBorder="1"/>
    <xf numFmtId="10" fontId="0" fillId="2" borderId="5" xfId="0" applyNumberFormat="1" applyFill="1" applyBorder="1"/>
    <xf numFmtId="10" fontId="0" fillId="2" borderId="5" xfId="1" applyNumberFormat="1" applyFont="1" applyFill="1" applyBorder="1"/>
    <xf numFmtId="0" fontId="3" fillId="0" borderId="1" xfId="0" applyFont="1" applyBorder="1" applyAlignment="1">
      <alignment horizontal="right"/>
    </xf>
    <xf numFmtId="9" fontId="0" fillId="0" borderId="0" xfId="1" applyFont="1"/>
    <xf numFmtId="10" fontId="1" fillId="0" borderId="0" xfId="1" applyNumberFormat="1" applyFont="1"/>
    <xf numFmtId="10" fontId="0" fillId="0" borderId="0" xfId="1" applyNumberFormat="1" applyFont="1"/>
    <xf numFmtId="9" fontId="0" fillId="0" borderId="0" xfId="0" applyNumberFormat="1"/>
    <xf numFmtId="165" fontId="0" fillId="0" borderId="2" xfId="0" applyNumberFormat="1" applyBorder="1"/>
    <xf numFmtId="9" fontId="0" fillId="0" borderId="2" xfId="1" applyFont="1" applyBorder="1"/>
    <xf numFmtId="2" fontId="0" fillId="2" borderId="5" xfId="0" applyNumberFormat="1" applyFill="1" applyBorder="1"/>
    <xf numFmtId="10" fontId="0" fillId="2" borderId="0" xfId="0" applyNumberFormat="1" applyFill="1"/>
    <xf numFmtId="0" fontId="8" fillId="0" borderId="0" xfId="0" applyFont="1"/>
    <xf numFmtId="0" fontId="8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4" borderId="0" xfId="0" applyFont="1" applyFill="1"/>
    <xf numFmtId="10" fontId="0" fillId="4" borderId="0" xfId="0" applyNumberFormat="1" applyFill="1"/>
    <xf numFmtId="3" fontId="0" fillId="0" borderId="0" xfId="0" applyNumberFormat="1"/>
    <xf numFmtId="17" fontId="2" fillId="3" borderId="0" xfId="0" applyNumberFormat="1" applyFont="1" applyFill="1"/>
    <xf numFmtId="0" fontId="0" fillId="3" borderId="0" xfId="0" applyFill="1"/>
    <xf numFmtId="0" fontId="9" fillId="3" borderId="0" xfId="0" applyFont="1" applyFill="1"/>
    <xf numFmtId="0" fontId="0" fillId="0" borderId="6" xfId="0" applyBorder="1"/>
    <xf numFmtId="3" fontId="0" fillId="0" borderId="6" xfId="0" applyNumberFormat="1" applyBorder="1"/>
    <xf numFmtId="0" fontId="3" fillId="0" borderId="7" xfId="0" applyFont="1" applyBorder="1"/>
    <xf numFmtId="3" fontId="3" fillId="0" borderId="0" xfId="0" applyNumberFormat="1" applyFont="1"/>
    <xf numFmtId="0" fontId="2" fillId="0" borderId="0" xfId="0" applyFont="1"/>
    <xf numFmtId="17" fontId="2" fillId="0" borderId="0" xfId="0" applyNumberFormat="1" applyFont="1"/>
    <xf numFmtId="0" fontId="10" fillId="0" borderId="0" xfId="0" applyFont="1"/>
    <xf numFmtId="0" fontId="0" fillId="0" borderId="7" xfId="0" applyBorder="1"/>
    <xf numFmtId="166" fontId="2" fillId="6" borderId="0" xfId="0" applyNumberFormat="1" applyFont="1" applyFill="1" applyAlignment="1">
      <alignment horizontal="center"/>
    </xf>
    <xf numFmtId="43" fontId="3" fillId="0" borderId="0" xfId="2" applyFont="1" applyBorder="1"/>
    <xf numFmtId="43" fontId="1" fillId="0" borderId="0" xfId="2" applyFont="1" applyBorder="1"/>
    <xf numFmtId="43" fontId="3" fillId="0" borderId="0" xfId="0" applyNumberFormat="1" applyFont="1"/>
    <xf numFmtId="43" fontId="0" fillId="0" borderId="0" xfId="0" applyNumberFormat="1"/>
    <xf numFmtId="168" fontId="0" fillId="0" borderId="0" xfId="0" applyNumberFormat="1"/>
    <xf numFmtId="169" fontId="0" fillId="0" borderId="6" xfId="0" applyNumberFormat="1" applyBorder="1"/>
    <xf numFmtId="169" fontId="0" fillId="0" borderId="7" xfId="0" applyNumberFormat="1" applyBorder="1"/>
    <xf numFmtId="169" fontId="0" fillId="0" borderId="0" xfId="0" applyNumberFormat="1"/>
    <xf numFmtId="169" fontId="3" fillId="0" borderId="7" xfId="0" applyNumberFormat="1" applyFont="1" applyBorder="1"/>
    <xf numFmtId="169" fontId="3" fillId="0" borderId="2" xfId="0" applyNumberFormat="1" applyFont="1" applyBorder="1"/>
    <xf numFmtId="169" fontId="0" fillId="0" borderId="1" xfId="0" applyNumberFormat="1" applyBorder="1"/>
    <xf numFmtId="2" fontId="3" fillId="4" borderId="7" xfId="0" applyNumberFormat="1" applyFont="1" applyFill="1" applyBorder="1"/>
    <xf numFmtId="2" fontId="0" fillId="4" borderId="7" xfId="0" applyNumberFormat="1" applyFill="1" applyBorder="1"/>
    <xf numFmtId="10" fontId="3" fillId="4" borderId="7" xfId="1" applyNumberFormat="1" applyFont="1" applyFill="1" applyBorder="1"/>
    <xf numFmtId="168" fontId="0" fillId="0" borderId="6" xfId="0" applyNumberFormat="1" applyBorder="1"/>
    <xf numFmtId="10" fontId="4" fillId="0" borderId="6" xfId="0" applyNumberFormat="1" applyFont="1" applyBorder="1"/>
    <xf numFmtId="10" fontId="3" fillId="4" borderId="0" xfId="0" applyNumberFormat="1" applyFont="1" applyFill="1"/>
    <xf numFmtId="0" fontId="3" fillId="4" borderId="8" xfId="0" applyFont="1" applyFill="1" applyBorder="1"/>
    <xf numFmtId="10" fontId="3" fillId="4" borderId="8" xfId="1" applyNumberFormat="1" applyFont="1" applyFill="1" applyBorder="1"/>
    <xf numFmtId="10" fontId="0" fillId="0" borderId="6" xfId="0" applyNumberFormat="1" applyBorder="1"/>
    <xf numFmtId="0" fontId="3" fillId="4" borderId="7" xfId="0" applyFont="1" applyFill="1" applyBorder="1"/>
    <xf numFmtId="10" fontId="3" fillId="4" borderId="7" xfId="0" applyNumberFormat="1" applyFont="1" applyFill="1" applyBorder="1"/>
    <xf numFmtId="169" fontId="3" fillId="0" borderId="0" xfId="0" applyNumberFormat="1" applyFont="1"/>
    <xf numFmtId="169" fontId="3" fillId="0" borderId="6" xfId="0" applyNumberFormat="1" applyFont="1" applyBorder="1"/>
    <xf numFmtId="169" fontId="0" fillId="0" borderId="2" xfId="0" applyNumberFormat="1" applyBorder="1"/>
    <xf numFmtId="170" fontId="2" fillId="3" borderId="0" xfId="0" applyNumberFormat="1" applyFont="1" applyFill="1"/>
    <xf numFmtId="171" fontId="2" fillId="3" borderId="0" xfId="0" applyNumberFormat="1" applyFont="1" applyFill="1"/>
    <xf numFmtId="43" fontId="0" fillId="2" borderId="0" xfId="0" applyNumberFormat="1" applyFill="1"/>
    <xf numFmtId="10" fontId="4" fillId="2" borderId="0" xfId="0" applyNumberFormat="1" applyFont="1" applyFill="1"/>
    <xf numFmtId="43" fontId="0" fillId="0" borderId="7" xfId="0" applyNumberFormat="1" applyBorder="1"/>
    <xf numFmtId="10" fontId="4" fillId="4" borderId="0" xfId="0" applyNumberFormat="1" applyFont="1" applyFill="1"/>
    <xf numFmtId="43" fontId="3" fillId="0" borderId="7" xfId="0" applyNumberFormat="1" applyFont="1" applyBorder="1"/>
    <xf numFmtId="43" fontId="0" fillId="0" borderId="0" xfId="2" applyFont="1" applyBorder="1"/>
    <xf numFmtId="166" fontId="7" fillId="0" borderId="0" xfId="2" applyNumberFormat="1" applyFont="1" applyFill="1" applyBorder="1"/>
    <xf numFmtId="166" fontId="2" fillId="6" borderId="0" xfId="2" applyNumberFormat="1" applyFont="1" applyFill="1" applyBorder="1"/>
    <xf numFmtId="2" fontId="3" fillId="0" borderId="0" xfId="0" applyNumberFormat="1" applyFont="1"/>
    <xf numFmtId="172" fontId="0" fillId="0" borderId="0" xfId="0" applyNumberFormat="1"/>
    <xf numFmtId="0" fontId="12" fillId="3" borderId="0" xfId="0" applyFont="1" applyFill="1"/>
    <xf numFmtId="0" fontId="13" fillId="7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167" fontId="11" fillId="0" borderId="0" xfId="4" applyNumberFormat="1" applyBorder="1" applyAlignment="1" applyProtection="1">
      <alignment horizontal="center"/>
    </xf>
    <xf numFmtId="167" fontId="2" fillId="5" borderId="0" xfId="3" applyNumberFormat="1" applyFont="1" applyBorder="1" applyAlignment="1">
      <alignment horizontal="center"/>
    </xf>
  </cellXfs>
  <cellStyles count="5">
    <cellStyle name="Accent6" xfId="3" builtinId="49"/>
    <cellStyle name="Comma" xfId="2" builtinId="3"/>
    <cellStyle name="Hyperlink" xfId="4" builtinId="8"/>
    <cellStyle name="Normal" xfId="0" builtinId="0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152401</xdr:rowOff>
    </xdr:from>
    <xdr:to>
      <xdr:col>2</xdr:col>
      <xdr:colOff>228601</xdr:colOff>
      <xdr:row>3</xdr:row>
      <xdr:rowOff>74508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18EC81-F73B-EBF4-02AA-26DADE318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52401"/>
          <a:ext cx="762000" cy="4707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Asian%20Paints.xlsx" TargetMode="External"/><Relationship Id="rId2" Type="http://schemas.openxmlformats.org/officeDocument/2006/relationships/externalLinkPath" Target="file:///C:\Users\mayan\Downloads\Asian%20Paints.xlsx" TargetMode="External"/><Relationship Id="rId1" Type="http://schemas.openxmlformats.org/officeDocument/2006/relationships/externalLinkPath" Target="/Users/mayan/Downloads/Asian%20Pai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n\Documents\Hype's\Finance%20Hype\Valuation%20School\DCF%20Model\4%20Growth%20Rate.xlsx" TargetMode="External"/><Relationship Id="rId1" Type="http://schemas.openxmlformats.org/officeDocument/2006/relationships/externalLinkPath" Target="4%20Growth%20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>
        <row r="12">
          <cell r="L12">
            <v>4325.3500000000004</v>
          </cell>
        </row>
      </sheetData>
      <sheetData sheetId="1">
        <row r="4">
          <cell r="H4">
            <v>8938.5499999999993</v>
          </cell>
        </row>
      </sheetData>
      <sheetData sheetId="2"/>
      <sheetData sheetId="3"/>
      <sheetData sheetId="4"/>
      <sheetData sheetId="5">
        <row r="1">
          <cell r="B1" t="str">
            <v>ASIAN PAINTS LTD</v>
          </cell>
          <cell r="E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CC"/>
      <sheetName val="Intrinsic Growth"/>
      <sheetName val="Data Room"/>
      <sheetName val="Data Sheet"/>
    </sheetNames>
    <sheetDataSet>
      <sheetData sheetId="0" refreshError="1"/>
      <sheetData sheetId="1" refreshError="1"/>
      <sheetData sheetId="2">
        <row r="37">
          <cell r="N37">
            <v>1074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E77-4367-4392-B604-D060E07DA06D}">
  <dimension ref="B1:L49"/>
  <sheetViews>
    <sheetView showGridLines="0" tabSelected="1" topLeftCell="A18" workbookViewId="0">
      <selection activeCell="E49" sqref="E49"/>
    </sheetView>
  </sheetViews>
  <sheetFormatPr defaultRowHeight="14.4" x14ac:dyDescent="0.3"/>
  <cols>
    <col min="1" max="1" width="1.88671875" customWidth="1"/>
    <col min="5" max="5" width="12.33203125" bestFit="1" customWidth="1"/>
    <col min="7" max="9" width="9.21875" bestFit="1" customWidth="1"/>
    <col min="10" max="12" width="10.21875" bestFit="1" customWidth="1"/>
  </cols>
  <sheetData>
    <row r="1" spans="2:12" x14ac:dyDescent="0.3">
      <c r="B1" s="110" t="s">
        <v>258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2:12" x14ac:dyDescent="0.3"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2:12" x14ac:dyDescent="0.3"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2" x14ac:dyDescent="0.3"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</row>
    <row r="5" spans="2:12" x14ac:dyDescent="0.3">
      <c r="B5" s="28" t="s">
        <v>198</v>
      </c>
      <c r="C5" s="61"/>
      <c r="D5" s="61"/>
      <c r="E5" s="61"/>
      <c r="F5" s="61"/>
      <c r="G5" s="97">
        <v>46082</v>
      </c>
      <c r="H5" s="98">
        <f>G5+366</f>
        <v>46448</v>
      </c>
      <c r="I5" s="98">
        <f t="shared" ref="I5:L5" si="0">H5+366</f>
        <v>46814</v>
      </c>
      <c r="J5" s="98">
        <f t="shared" si="0"/>
        <v>47180</v>
      </c>
      <c r="K5" s="98">
        <f t="shared" si="0"/>
        <v>47546</v>
      </c>
      <c r="L5" s="98">
        <f t="shared" si="0"/>
        <v>47912</v>
      </c>
    </row>
    <row r="7" spans="2:12" x14ac:dyDescent="0.3">
      <c r="B7" t="s">
        <v>154</v>
      </c>
      <c r="G7" s="99">
        <f>'Data Sheet'!L33</f>
        <v>6129.51</v>
      </c>
      <c r="H7" s="75">
        <f>G7*(1+$E$23)</f>
        <v>7409.8857773067321</v>
      </c>
      <c r="I7" s="75">
        <f t="shared" ref="I7:L7" si="1">H7*(1+$E$23)</f>
        <v>8957.7155812997444</v>
      </c>
      <c r="J7" s="75">
        <f t="shared" si="1"/>
        <v>10828.867117115704</v>
      </c>
      <c r="K7" s="75">
        <f t="shared" si="1"/>
        <v>13090.878134705745</v>
      </c>
      <c r="L7" s="75">
        <f t="shared" si="1"/>
        <v>15825.394151051516</v>
      </c>
    </row>
    <row r="8" spans="2:12" x14ac:dyDescent="0.3">
      <c r="G8" s="39"/>
    </row>
    <row r="9" spans="2:12" x14ac:dyDescent="0.3">
      <c r="B9" t="s">
        <v>71</v>
      </c>
      <c r="G9" s="100">
        <v>0.3</v>
      </c>
      <c r="H9" s="40">
        <v>0.3</v>
      </c>
      <c r="I9" s="40">
        <v>0.3</v>
      </c>
      <c r="J9" s="40">
        <v>0.3</v>
      </c>
      <c r="K9" s="40">
        <v>0.3</v>
      </c>
      <c r="L9" s="40">
        <v>0.3</v>
      </c>
    </row>
    <row r="10" spans="2:12" x14ac:dyDescent="0.3">
      <c r="G10" s="39"/>
    </row>
    <row r="11" spans="2:12" x14ac:dyDescent="0.3">
      <c r="B11" t="s">
        <v>160</v>
      </c>
      <c r="G11" s="99">
        <f>G7*(1-G9)</f>
        <v>4290.6570000000002</v>
      </c>
      <c r="H11" s="75">
        <f t="shared" ref="H11:L11" si="2">H7*(1-H9)</f>
        <v>5186.9200441147123</v>
      </c>
      <c r="I11" s="75">
        <f t="shared" si="2"/>
        <v>6270.4009069098211</v>
      </c>
      <c r="J11" s="75">
        <f t="shared" si="2"/>
        <v>7580.2069819809922</v>
      </c>
      <c r="K11" s="75">
        <f t="shared" si="2"/>
        <v>9163.6146942940213</v>
      </c>
      <c r="L11" s="75">
        <f t="shared" si="2"/>
        <v>11077.77590573606</v>
      </c>
    </row>
    <row r="12" spans="2:12" x14ac:dyDescent="0.3">
      <c r="G12" s="39"/>
    </row>
    <row r="13" spans="2:12" x14ac:dyDescent="0.3">
      <c r="B13" t="s">
        <v>199</v>
      </c>
      <c r="G13" s="53">
        <f>'Intrinsic Growth'!K57</f>
        <v>0.47284901155983616</v>
      </c>
      <c r="H13" s="33">
        <f>G13+(($L$13-$G$13)/4)</f>
        <v>0.47748675866987711</v>
      </c>
      <c r="I13" s="33">
        <f t="shared" ref="I13:K13" si="3">H13+(($L$13-$G$13)/4)</f>
        <v>0.48212450577991806</v>
      </c>
      <c r="J13" s="33">
        <f t="shared" si="3"/>
        <v>0.486762252889959</v>
      </c>
      <c r="K13" s="33">
        <f t="shared" si="3"/>
        <v>0.49139999999999995</v>
      </c>
      <c r="L13" s="40">
        <v>0.4914</v>
      </c>
    </row>
    <row r="14" spans="2:12" x14ac:dyDescent="0.3">
      <c r="G14" s="39"/>
    </row>
    <row r="15" spans="2:12" x14ac:dyDescent="0.3">
      <c r="B15" t="s">
        <v>200</v>
      </c>
      <c r="G15" s="99">
        <f>G11*(1-G13)</f>
        <v>2261.8240786077081</v>
      </c>
      <c r="H15" s="75">
        <f t="shared" ref="H15:L15" si="4">H11*(1-H13)</f>
        <v>2710.2344047705624</v>
      </c>
      <c r="I15" s="75">
        <f t="shared" si="4"/>
        <v>3247.2869686239737</v>
      </c>
      <c r="J15" s="75">
        <f t="shared" si="4"/>
        <v>3890.4483540597275</v>
      </c>
      <c r="K15" s="75">
        <f t="shared" si="4"/>
        <v>4660.6144335179397</v>
      </c>
      <c r="L15" s="75">
        <f t="shared" si="4"/>
        <v>5634.1568256573591</v>
      </c>
    </row>
    <row r="17" spans="2:12" x14ac:dyDescent="0.3">
      <c r="B17" t="s">
        <v>201</v>
      </c>
      <c r="H17" s="13">
        <v>0.5</v>
      </c>
      <c r="I17">
        <f>H17+1</f>
        <v>1.5</v>
      </c>
      <c r="J17">
        <f t="shared" ref="J17:L17" si="5">I17+1</f>
        <v>2.5</v>
      </c>
      <c r="K17">
        <f t="shared" si="5"/>
        <v>3.5</v>
      </c>
      <c r="L17">
        <f t="shared" si="5"/>
        <v>4.5</v>
      </c>
    </row>
    <row r="18" spans="2:12" x14ac:dyDescent="0.3">
      <c r="B18" t="s">
        <v>202</v>
      </c>
      <c r="H18" s="31">
        <f>1/(1+$E$25)^H17</f>
        <v>0.9334828455053954</v>
      </c>
      <c r="I18" s="31">
        <f t="shared" ref="I18:L18" si="6">1/(1+$E$25)^I17</f>
        <v>0.81342782477425901</v>
      </c>
      <c r="J18" s="31">
        <f t="shared" si="6"/>
        <v>0.70881305350475055</v>
      </c>
      <c r="K18" s="31">
        <f t="shared" si="6"/>
        <v>0.61765276465451358</v>
      </c>
      <c r="L18" s="31">
        <f t="shared" si="6"/>
        <v>0.53821658023797547</v>
      </c>
    </row>
    <row r="20" spans="2:12" ht="15" thickBot="1" x14ac:dyDescent="0.35">
      <c r="B20" s="70" t="s">
        <v>203</v>
      </c>
      <c r="C20" s="70"/>
      <c r="D20" s="70"/>
      <c r="E20" s="70"/>
      <c r="F20" s="70"/>
      <c r="G20" s="70"/>
      <c r="H20" s="101">
        <f>H15*H18</f>
        <v>2529.957324151846</v>
      </c>
      <c r="I20" s="101">
        <f t="shared" ref="I20:L20" si="7">I15*I18</f>
        <v>2641.4335753055966</v>
      </c>
      <c r="J20" s="101">
        <f t="shared" si="7"/>
        <v>2757.6005773436063</v>
      </c>
      <c r="K20" s="101">
        <f t="shared" si="7"/>
        <v>2878.641389851085</v>
      </c>
      <c r="L20" s="101">
        <f t="shared" si="7"/>
        <v>3032.3966192297512</v>
      </c>
    </row>
    <row r="21" spans="2:12" ht="15" thickTop="1" x14ac:dyDescent="0.3"/>
    <row r="23" spans="2:12" x14ac:dyDescent="0.3">
      <c r="B23" s="38" t="s">
        <v>204</v>
      </c>
      <c r="C23" s="38"/>
      <c r="D23" s="38"/>
      <c r="E23" s="58">
        <f>'Intrinsic Growth'!K68</f>
        <v>0.20888713409501447</v>
      </c>
    </row>
    <row r="24" spans="2:12" x14ac:dyDescent="0.3">
      <c r="B24" s="38" t="s">
        <v>205</v>
      </c>
      <c r="C24" s="38"/>
      <c r="D24" s="38"/>
      <c r="E24" s="102">
        <v>6.9000000000000006E-2</v>
      </c>
    </row>
    <row r="25" spans="2:12" x14ac:dyDescent="0.3">
      <c r="B25" s="38" t="s">
        <v>206</v>
      </c>
      <c r="C25" s="38"/>
      <c r="D25" s="38"/>
      <c r="E25" s="58">
        <f>WACC!K45</f>
        <v>0.14759148516274806</v>
      </c>
    </row>
    <row r="28" spans="2:12" x14ac:dyDescent="0.3">
      <c r="B28" s="28" t="s">
        <v>207</v>
      </c>
      <c r="C28" s="28"/>
      <c r="D28" s="28"/>
      <c r="E28" s="28"/>
    </row>
    <row r="29" spans="2:12" x14ac:dyDescent="0.3">
      <c r="B29" t="s">
        <v>208</v>
      </c>
      <c r="E29" s="75">
        <f>L15*(1+E24)</f>
        <v>6022.9136466277168</v>
      </c>
    </row>
    <row r="30" spans="2:12" x14ac:dyDescent="0.3">
      <c r="B30" t="s">
        <v>206</v>
      </c>
      <c r="E30" s="33">
        <f>E25</f>
        <v>0.14759148516274806</v>
      </c>
    </row>
    <row r="31" spans="2:12" x14ac:dyDescent="0.3">
      <c r="B31" t="s">
        <v>209</v>
      </c>
      <c r="E31" s="33">
        <f>E24</f>
        <v>6.9000000000000006E-2</v>
      </c>
    </row>
    <row r="33" spans="2:5" ht="15" thickBot="1" x14ac:dyDescent="0.35">
      <c r="B33" s="65" t="s">
        <v>210</v>
      </c>
      <c r="C33" s="65"/>
      <c r="D33" s="65"/>
      <c r="E33" s="103">
        <f>E29/(E30-E31)</f>
        <v>76635.702126705015</v>
      </c>
    </row>
    <row r="34" spans="2:5" ht="15" thickTop="1" x14ac:dyDescent="0.3"/>
    <row r="36" spans="2:5" x14ac:dyDescent="0.3">
      <c r="B36" s="28" t="s">
        <v>211</v>
      </c>
      <c r="C36" s="28"/>
      <c r="D36" s="28"/>
      <c r="E36" s="28"/>
    </row>
    <row r="38" spans="2:5" x14ac:dyDescent="0.3">
      <c r="B38" t="s">
        <v>203</v>
      </c>
      <c r="E38" s="75">
        <f>SUM(H20:L20)</f>
        <v>13840.029485881885</v>
      </c>
    </row>
    <row r="39" spans="2:5" x14ac:dyDescent="0.3">
      <c r="B39" t="s">
        <v>212</v>
      </c>
      <c r="E39" s="75">
        <f>E33*L18</f>
        <v>41246.605522771315</v>
      </c>
    </row>
    <row r="40" spans="2:5" s="21" customFormat="1" x14ac:dyDescent="0.3">
      <c r="B40" s="21" t="s">
        <v>213</v>
      </c>
      <c r="E40" s="74">
        <f>SUM(E38:E39)</f>
        <v>55086.635008653204</v>
      </c>
    </row>
    <row r="42" spans="2:5" x14ac:dyDescent="0.3">
      <c r="B42" t="s">
        <v>214</v>
      </c>
      <c r="E42">
        <f>'[2]Data Room'!$N$37</f>
        <v>1074</v>
      </c>
    </row>
    <row r="43" spans="2:5" x14ac:dyDescent="0.3">
      <c r="B43" t="s">
        <v>215</v>
      </c>
      <c r="E43">
        <f>SUM('Raw FS'!N9:N10)</f>
        <v>2293</v>
      </c>
    </row>
    <row r="44" spans="2:5" x14ac:dyDescent="0.3">
      <c r="B44" s="21" t="s">
        <v>216</v>
      </c>
      <c r="E44" s="74">
        <f>E40+E42-E43</f>
        <v>53867.635008653204</v>
      </c>
    </row>
    <row r="45" spans="2:5" x14ac:dyDescent="0.3">
      <c r="B45" t="s">
        <v>217</v>
      </c>
      <c r="E45" s="75">
        <f>'Data Sheet'!C6</f>
        <v>95.919780587579027</v>
      </c>
    </row>
    <row r="47" spans="2:5" x14ac:dyDescent="0.3">
      <c r="B47" s="21" t="s">
        <v>255</v>
      </c>
      <c r="C47" s="21"/>
      <c r="D47" s="21"/>
      <c r="E47" s="107">
        <f>E44/E45</f>
        <v>561.5904736090348</v>
      </c>
    </row>
    <row r="48" spans="2:5" x14ac:dyDescent="0.3">
      <c r="B48" t="s">
        <v>256</v>
      </c>
      <c r="E48">
        <v>2689</v>
      </c>
    </row>
    <row r="49" spans="2:5" x14ac:dyDescent="0.3">
      <c r="B49" t="s">
        <v>257</v>
      </c>
      <c r="E49" s="108">
        <f>E48/E47</f>
        <v>4.7881866348609297</v>
      </c>
    </row>
  </sheetData>
  <mergeCells count="1">
    <mergeCell ref="B1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D623-1529-4B77-BE26-1ED148B1F26F}">
  <dimension ref="B5:N48"/>
  <sheetViews>
    <sheetView showGridLines="0" topLeftCell="A17" workbookViewId="0">
      <selection activeCell="K44" sqref="K44"/>
    </sheetView>
  </sheetViews>
  <sheetFormatPr defaultRowHeight="14.4" x14ac:dyDescent="0.3"/>
  <cols>
    <col min="1" max="1" width="1.88671875" customWidth="1"/>
    <col min="3" max="3" width="11.88671875" customWidth="1"/>
    <col min="4" max="4" width="10.44140625" customWidth="1"/>
    <col min="5" max="5" width="10.6640625" customWidth="1"/>
    <col min="6" max="6" width="11.88671875" customWidth="1"/>
    <col min="10" max="10" width="9.88671875" customWidth="1"/>
    <col min="11" max="11" width="10.77734375" customWidth="1"/>
  </cols>
  <sheetData>
    <row r="5" spans="2:11" x14ac:dyDescent="0.3">
      <c r="B5" s="109" t="s">
        <v>18</v>
      </c>
      <c r="C5" s="28"/>
      <c r="D5" s="28"/>
      <c r="E5" s="62"/>
      <c r="F5" s="62"/>
      <c r="G5" s="62"/>
      <c r="H5" s="62"/>
      <c r="I5" s="62"/>
      <c r="J5" s="62"/>
      <c r="K5" s="62"/>
    </row>
    <row r="7" spans="2:11" x14ac:dyDescent="0.3">
      <c r="B7" s="18" t="s">
        <v>17</v>
      </c>
      <c r="C7" s="18"/>
      <c r="D7" s="18"/>
      <c r="E7" s="18"/>
    </row>
    <row r="9" spans="2:11" x14ac:dyDescent="0.3">
      <c r="B9" t="s">
        <v>16</v>
      </c>
    </row>
    <row r="10" spans="2:11" x14ac:dyDescent="0.3">
      <c r="B10" s="17"/>
      <c r="C10" s="17"/>
      <c r="D10" s="17"/>
      <c r="E10" s="17"/>
      <c r="F10" s="17"/>
      <c r="G10" s="17"/>
      <c r="H10" s="16" t="s">
        <v>15</v>
      </c>
      <c r="I10" s="16" t="s">
        <v>14</v>
      </c>
      <c r="J10" s="16" t="s">
        <v>13</v>
      </c>
      <c r="K10" s="16" t="s">
        <v>12</v>
      </c>
    </row>
    <row r="11" spans="2:11" ht="16.2" x14ac:dyDescent="0.3">
      <c r="B11" s="15" t="s">
        <v>11</v>
      </c>
      <c r="C11" s="15"/>
      <c r="D11" s="14" t="s">
        <v>10</v>
      </c>
      <c r="E11" s="14" t="s">
        <v>9</v>
      </c>
      <c r="F11" s="14" t="s">
        <v>8</v>
      </c>
      <c r="G11" s="14" t="s">
        <v>7</v>
      </c>
      <c r="H11" s="14" t="s">
        <v>6</v>
      </c>
      <c r="I11" s="14" t="s">
        <v>5</v>
      </c>
      <c r="J11" s="14" t="s">
        <v>4</v>
      </c>
      <c r="K11" s="14" t="s">
        <v>3</v>
      </c>
    </row>
    <row r="12" spans="2:11" x14ac:dyDescent="0.3">
      <c r="D12" s="19"/>
      <c r="F12" s="19"/>
    </row>
    <row r="13" spans="2:11" x14ac:dyDescent="0.3">
      <c r="B13" s="13" t="s">
        <v>19</v>
      </c>
      <c r="C13" s="13"/>
      <c r="D13" s="20" t="s">
        <v>2</v>
      </c>
      <c r="E13" s="13">
        <v>3928.93</v>
      </c>
      <c r="F13" s="20">
        <v>255880.39</v>
      </c>
      <c r="G13" s="12">
        <v>0.3</v>
      </c>
      <c r="H13" s="11">
        <f>E13/F13</f>
        <v>1.5354556869324763E-2</v>
      </c>
      <c r="I13" s="11">
        <f>E13/(E13+F13)</f>
        <v>1.5122359736748473E-2</v>
      </c>
      <c r="J13" s="32">
        <f>Beta!P10</f>
        <v>0.91230910786150843</v>
      </c>
      <c r="K13" s="9">
        <f>J13/1+(1-G13)*H13</f>
        <v>0.92305729767003575</v>
      </c>
    </row>
    <row r="14" spans="2:11" x14ac:dyDescent="0.3">
      <c r="B14" s="13" t="s">
        <v>20</v>
      </c>
      <c r="C14" s="13"/>
      <c r="D14" s="20" t="s">
        <v>2</v>
      </c>
      <c r="E14" s="13">
        <v>635.13</v>
      </c>
      <c r="F14" s="20">
        <v>58329.8</v>
      </c>
      <c r="G14" s="12">
        <v>0.3</v>
      </c>
      <c r="H14" s="11">
        <f t="shared" ref="H14:H18" si="0">E14/F14</f>
        <v>1.0888602395345089E-2</v>
      </c>
      <c r="I14" s="11">
        <f t="shared" ref="I14:I18" si="1">E14/(E14+F14)</f>
        <v>1.0771317798562637E-2</v>
      </c>
      <c r="J14" s="10">
        <v>0.67100000000000004</v>
      </c>
      <c r="K14" s="9">
        <f t="shared" ref="K14:K18" si="2">J14/1+(1-G14)*H14</f>
        <v>0.67862202167674157</v>
      </c>
    </row>
    <row r="15" spans="2:11" x14ac:dyDescent="0.3">
      <c r="B15" s="13" t="s">
        <v>21</v>
      </c>
      <c r="C15" s="13"/>
      <c r="D15" s="20" t="s">
        <v>2</v>
      </c>
      <c r="E15" s="13">
        <v>302.73</v>
      </c>
      <c r="F15" s="20">
        <v>16326.33</v>
      </c>
      <c r="G15" s="12">
        <v>0.3</v>
      </c>
      <c r="H15" s="11">
        <f t="shared" si="0"/>
        <v>1.854244034023568E-2</v>
      </c>
      <c r="I15" s="11">
        <f t="shared" si="1"/>
        <v>1.8204877485558414E-2</v>
      </c>
      <c r="J15" s="10">
        <v>0.94099999999999995</v>
      </c>
      <c r="K15" s="9">
        <f t="shared" si="2"/>
        <v>0.95397970823816491</v>
      </c>
    </row>
    <row r="16" spans="2:11" x14ac:dyDescent="0.3">
      <c r="B16" s="13" t="s">
        <v>22</v>
      </c>
      <c r="C16" s="13"/>
      <c r="D16" s="20" t="s">
        <v>2</v>
      </c>
      <c r="E16" s="13">
        <v>79.099999999999994</v>
      </c>
      <c r="F16" s="20">
        <v>14156.79</v>
      </c>
      <c r="G16" s="12">
        <v>0.3</v>
      </c>
      <c r="H16" s="11">
        <f t="shared" si="0"/>
        <v>5.5874248328893761E-3</v>
      </c>
      <c r="I16" s="11">
        <f t="shared" si="1"/>
        <v>5.5563789829789351E-3</v>
      </c>
      <c r="J16" s="10">
        <v>0.36899999999999999</v>
      </c>
      <c r="K16" s="9">
        <f t="shared" si="2"/>
        <v>0.37291119738302259</v>
      </c>
    </row>
    <row r="17" spans="2:14" x14ac:dyDescent="0.3">
      <c r="B17" s="13" t="s">
        <v>23</v>
      </c>
      <c r="C17" s="13"/>
      <c r="D17" s="20" t="s">
        <v>2</v>
      </c>
      <c r="E17" s="13">
        <v>18.37</v>
      </c>
      <c r="F17" s="13">
        <v>5078.1400000000003</v>
      </c>
      <c r="G17" s="12">
        <v>0.3</v>
      </c>
      <c r="H17" s="11">
        <f t="shared" si="0"/>
        <v>3.6174662376381901E-3</v>
      </c>
      <c r="I17" s="11">
        <f t="shared" si="1"/>
        <v>3.6044273434173582E-3</v>
      </c>
      <c r="J17" s="10">
        <v>1.1000000000000001</v>
      </c>
      <c r="K17" s="9">
        <f t="shared" si="2"/>
        <v>1.1025322263663468</v>
      </c>
    </row>
    <row r="18" spans="2:14" x14ac:dyDescent="0.3">
      <c r="B18" s="13" t="s">
        <v>24</v>
      </c>
      <c r="D18" s="20" t="s">
        <v>2</v>
      </c>
      <c r="E18" s="13">
        <v>32.32</v>
      </c>
      <c r="F18" s="13">
        <v>2232.52</v>
      </c>
      <c r="G18" s="12">
        <v>0.3</v>
      </c>
      <c r="H18" s="11">
        <f t="shared" si="0"/>
        <v>1.4476913980613836E-2</v>
      </c>
      <c r="I18" s="11">
        <f t="shared" si="1"/>
        <v>1.427032373147772E-2</v>
      </c>
      <c r="J18" s="10">
        <v>0.73299999999999998</v>
      </c>
      <c r="K18" s="9">
        <f t="shared" si="2"/>
        <v>0.74313383978642966</v>
      </c>
    </row>
    <row r="19" spans="2:14" x14ac:dyDescent="0.3">
      <c r="B19" s="13"/>
    </row>
    <row r="20" spans="2:14" x14ac:dyDescent="0.3">
      <c r="B20" s="13"/>
    </row>
    <row r="21" spans="2:14" x14ac:dyDescent="0.3">
      <c r="F21" s="8" t="s">
        <v>1</v>
      </c>
      <c r="G21" s="7">
        <f>AVERAGE(G13:G18)</f>
        <v>0.3</v>
      </c>
      <c r="H21" s="6">
        <f t="shared" ref="H21:K21" si="3">AVERAGE(H13:H18)</f>
        <v>1.1411234109341155E-2</v>
      </c>
      <c r="I21" s="6">
        <f t="shared" si="3"/>
        <v>1.1254947513123925E-2</v>
      </c>
      <c r="J21" s="5">
        <f t="shared" si="3"/>
        <v>0.78771818464358478</v>
      </c>
      <c r="K21" s="5">
        <f t="shared" si="3"/>
        <v>0.79570604852012361</v>
      </c>
    </row>
    <row r="22" spans="2:14" x14ac:dyDescent="0.3">
      <c r="F22" s="4" t="s">
        <v>0</v>
      </c>
      <c r="G22" s="3">
        <f>MEDIAN(G13:G18)</f>
        <v>0.3</v>
      </c>
      <c r="H22" s="2">
        <f t="shared" ref="H22:K22" si="4">MEDIAN(H13:H18)</f>
        <v>1.2682758187979462E-2</v>
      </c>
      <c r="I22" s="2">
        <f t="shared" si="4"/>
        <v>1.2520820765020178E-2</v>
      </c>
      <c r="J22" s="1">
        <f t="shared" si="4"/>
        <v>0.82265455393075415</v>
      </c>
      <c r="K22" s="1">
        <f t="shared" si="4"/>
        <v>0.83309556872823265</v>
      </c>
    </row>
    <row r="25" spans="2:14" x14ac:dyDescent="0.3">
      <c r="B25" s="4" t="s">
        <v>67</v>
      </c>
      <c r="C25" s="4"/>
      <c r="D25" s="4"/>
      <c r="E25" s="4"/>
      <c r="G25" s="4" t="s">
        <v>68</v>
      </c>
      <c r="H25" s="4"/>
      <c r="I25" s="4"/>
      <c r="J25" s="15"/>
      <c r="K25" s="15"/>
    </row>
    <row r="26" spans="2:14" x14ac:dyDescent="0.3">
      <c r="N26" s="31"/>
    </row>
    <row r="27" spans="2:14" x14ac:dyDescent="0.3">
      <c r="B27" t="s">
        <v>69</v>
      </c>
      <c r="E27" s="40">
        <v>4.9599999999999998E-2</v>
      </c>
      <c r="G27" t="s">
        <v>70</v>
      </c>
      <c r="K27" s="40">
        <v>6.7510000000000001E-2</v>
      </c>
    </row>
    <row r="28" spans="2:14" x14ac:dyDescent="0.3">
      <c r="B28" t="s">
        <v>71</v>
      </c>
      <c r="E28" s="49">
        <f>G13</f>
        <v>0.3</v>
      </c>
      <c r="G28" t="s">
        <v>72</v>
      </c>
      <c r="K28" s="41">
        <f>Rm!H9-WACC!K27</f>
        <v>9.6982307692307715E-2</v>
      </c>
    </row>
    <row r="29" spans="2:14" ht="16.2" x14ac:dyDescent="0.3">
      <c r="B29" s="42" t="s">
        <v>73</v>
      </c>
      <c r="C29" s="42"/>
      <c r="D29" s="42"/>
      <c r="E29" s="43">
        <f>E27*(1-E28)</f>
        <v>3.4719999999999994E-2</v>
      </c>
      <c r="G29" t="s">
        <v>74</v>
      </c>
      <c r="K29" s="32">
        <f>K38</f>
        <v>0.8404898797789041</v>
      </c>
    </row>
    <row r="30" spans="2:14" x14ac:dyDescent="0.3">
      <c r="G30" s="42" t="s">
        <v>68</v>
      </c>
      <c r="H30" s="42"/>
      <c r="I30" s="42"/>
      <c r="J30" s="42"/>
      <c r="K30" s="44">
        <f>K27+(K28*K29)</f>
        <v>0.14902264813298838</v>
      </c>
    </row>
    <row r="33" spans="2:11" x14ac:dyDescent="0.3">
      <c r="B33" s="4" t="s">
        <v>75</v>
      </c>
      <c r="C33" s="4"/>
      <c r="D33" s="4"/>
      <c r="E33" s="4"/>
      <c r="G33" s="4" t="s">
        <v>76</v>
      </c>
      <c r="H33" s="4"/>
      <c r="I33" s="4"/>
      <c r="J33" s="4"/>
      <c r="K33" s="15"/>
    </row>
    <row r="35" spans="2:11" x14ac:dyDescent="0.3">
      <c r="D35" s="45" t="s">
        <v>77</v>
      </c>
      <c r="E35" s="45" t="s">
        <v>78</v>
      </c>
      <c r="G35" t="s">
        <v>79</v>
      </c>
      <c r="K35" s="32">
        <f>K22</f>
        <v>0.83309556872823265</v>
      </c>
    </row>
    <row r="36" spans="2:11" x14ac:dyDescent="0.3">
      <c r="B36" t="s">
        <v>9</v>
      </c>
      <c r="C36" s="34"/>
      <c r="D36" s="46">
        <f>E13/(E13+F13)</f>
        <v>1.5122359736748473E-2</v>
      </c>
      <c r="E36" s="47">
        <f>I22</f>
        <v>1.2520820765020178E-2</v>
      </c>
      <c r="G36" t="s">
        <v>80</v>
      </c>
      <c r="K36" s="33">
        <f>E40</f>
        <v>1.2679579507408259E-2</v>
      </c>
    </row>
    <row r="37" spans="2:11" x14ac:dyDescent="0.3">
      <c r="B37" t="s">
        <v>81</v>
      </c>
      <c r="C37" s="34"/>
      <c r="D37" s="46">
        <f>F13/(F13+E13)</f>
        <v>0.98487764026325153</v>
      </c>
      <c r="E37" s="48">
        <f>E38-E36</f>
        <v>0.98747917923497985</v>
      </c>
      <c r="G37" t="s">
        <v>71</v>
      </c>
      <c r="K37" s="49">
        <f>G18</f>
        <v>0.3</v>
      </c>
    </row>
    <row r="38" spans="2:11" x14ac:dyDescent="0.3">
      <c r="B38" s="17" t="s">
        <v>82</v>
      </c>
      <c r="C38" s="50"/>
      <c r="D38" s="51">
        <f>SUM(D36:D37)</f>
        <v>1</v>
      </c>
      <c r="E38" s="51">
        <v>1</v>
      </c>
      <c r="G38" s="42" t="s">
        <v>83</v>
      </c>
      <c r="H38" s="42"/>
      <c r="I38" s="42"/>
      <c r="J38" s="42"/>
      <c r="K38" s="52">
        <f>K35*(1+(1-K37)*K36)</f>
        <v>0.8404898797789041</v>
      </c>
    </row>
    <row r="40" spans="2:11" x14ac:dyDescent="0.3">
      <c r="B40" t="s">
        <v>84</v>
      </c>
      <c r="D40" s="53">
        <f>D36/D37</f>
        <v>1.5354556869324765E-2</v>
      </c>
      <c r="E40" s="53">
        <f>E36/E37</f>
        <v>1.2679579507408259E-2</v>
      </c>
      <c r="G40" s="4" t="s">
        <v>18</v>
      </c>
      <c r="H40" s="4"/>
      <c r="I40" s="4"/>
      <c r="J40" s="4"/>
      <c r="K40" s="15"/>
    </row>
    <row r="42" spans="2:11" x14ac:dyDescent="0.3">
      <c r="J42" s="45" t="s">
        <v>85</v>
      </c>
      <c r="K42" s="45" t="s">
        <v>86</v>
      </c>
    </row>
    <row r="43" spans="2:11" x14ac:dyDescent="0.3">
      <c r="B43" s="54" t="s">
        <v>87</v>
      </c>
      <c r="G43" t="s">
        <v>88</v>
      </c>
      <c r="J43" s="33">
        <f>E29</f>
        <v>3.4719999999999994E-2</v>
      </c>
      <c r="K43" s="33">
        <f>E36</f>
        <v>1.2520820765020178E-2</v>
      </c>
    </row>
    <row r="44" spans="2:11" x14ac:dyDescent="0.3">
      <c r="B44" s="55" t="s">
        <v>89</v>
      </c>
      <c r="G44" t="s">
        <v>6</v>
      </c>
      <c r="J44" s="33">
        <f>K30</f>
        <v>0.14902264813298838</v>
      </c>
      <c r="K44" s="33">
        <f>E37</f>
        <v>0.98747917923497985</v>
      </c>
    </row>
    <row r="45" spans="2:11" x14ac:dyDescent="0.3">
      <c r="B45" s="55" t="s">
        <v>90</v>
      </c>
      <c r="G45" s="42" t="s">
        <v>18</v>
      </c>
      <c r="H45" s="42"/>
      <c r="I45" s="42"/>
      <c r="J45" s="42"/>
      <c r="K45" s="44">
        <f>(J43*K43)+(J44*K44)</f>
        <v>0.14759148516274806</v>
      </c>
    </row>
    <row r="46" spans="2:11" x14ac:dyDescent="0.3">
      <c r="B46" s="55" t="s">
        <v>91</v>
      </c>
    </row>
    <row r="47" spans="2:11" x14ac:dyDescent="0.3">
      <c r="B47" s="55" t="s">
        <v>92</v>
      </c>
      <c r="K47" s="33"/>
    </row>
    <row r="48" spans="2:11" x14ac:dyDescent="0.3">
      <c r="K48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3E6A-F280-4F70-8DEF-3E8D4EBE8FE3}">
  <dimension ref="B1:W115"/>
  <sheetViews>
    <sheetView showGridLines="0" topLeftCell="A12" workbookViewId="0">
      <selection activeCell="K32" sqref="K32"/>
    </sheetView>
  </sheetViews>
  <sheetFormatPr defaultRowHeight="14.4" x14ac:dyDescent="0.3"/>
  <cols>
    <col min="1" max="1" width="1.88671875" customWidth="1"/>
    <col min="2" max="2" width="13.88671875" customWidth="1"/>
    <col min="3" max="3" width="8.88671875" customWidth="1"/>
    <col min="4" max="4" width="16.88671875" style="19" customWidth="1"/>
    <col min="7" max="7" width="16.21875" customWidth="1"/>
    <col min="8" max="8" width="8.88671875" customWidth="1"/>
    <col min="9" max="9" width="17.44140625" style="19" customWidth="1"/>
    <col min="11" max="11" width="12" customWidth="1"/>
    <col min="13" max="13" width="10.33203125" customWidth="1"/>
    <col min="16" max="16" width="12.44140625" customWidth="1"/>
  </cols>
  <sheetData>
    <row r="1" spans="2:16" x14ac:dyDescent="0.3">
      <c r="D1"/>
      <c r="I1"/>
    </row>
    <row r="2" spans="2:16" x14ac:dyDescent="0.3">
      <c r="D2"/>
      <c r="I2"/>
    </row>
    <row r="3" spans="2:16" x14ac:dyDescent="0.3">
      <c r="D3"/>
      <c r="I3"/>
    </row>
    <row r="4" spans="2:16" x14ac:dyDescent="0.3">
      <c r="D4"/>
      <c r="I4"/>
    </row>
    <row r="5" spans="2:16" x14ac:dyDescent="0.3">
      <c r="B5" s="21" t="s">
        <v>25</v>
      </c>
      <c r="D5"/>
      <c r="I5"/>
    </row>
    <row r="6" spans="2:16" x14ac:dyDescent="0.3">
      <c r="D6"/>
      <c r="I6"/>
    </row>
    <row r="7" spans="2:16" x14ac:dyDescent="0.3">
      <c r="D7"/>
      <c r="I7"/>
    </row>
    <row r="8" spans="2:16" x14ac:dyDescent="0.3">
      <c r="B8" s="111" t="s">
        <v>30</v>
      </c>
      <c r="C8" s="111"/>
      <c r="D8" s="111"/>
      <c r="G8" s="111" t="s">
        <v>31</v>
      </c>
      <c r="H8" s="111"/>
      <c r="I8" s="111"/>
      <c r="K8" s="111" t="s">
        <v>61</v>
      </c>
      <c r="L8" s="111"/>
      <c r="M8" s="111"/>
      <c r="O8" t="s">
        <v>33</v>
      </c>
      <c r="P8" s="32">
        <f>SLOPE(D12:D115, I12:I115)</f>
        <v>0.91230910786150798</v>
      </c>
    </row>
    <row r="9" spans="2:16" x14ac:dyDescent="0.3">
      <c r="D9"/>
      <c r="I9"/>
      <c r="O9" t="s">
        <v>34</v>
      </c>
      <c r="P9" s="32">
        <f>_xlfn.COVARIANCE.S(D12:D115,I12:I115)/_xlfn.VAR.S(I12:I115)</f>
        <v>0.9123091078615081</v>
      </c>
    </row>
    <row r="10" spans="2:16" x14ac:dyDescent="0.3">
      <c r="B10" s="29" t="s">
        <v>26</v>
      </c>
      <c r="C10" s="30" t="s">
        <v>27</v>
      </c>
      <c r="D10" s="30" t="s">
        <v>32</v>
      </c>
      <c r="G10" s="29" t="s">
        <v>26</v>
      </c>
      <c r="H10" s="30" t="s">
        <v>27</v>
      </c>
      <c r="I10" s="30" t="s">
        <v>32</v>
      </c>
      <c r="K10" t="s">
        <v>62</v>
      </c>
      <c r="M10" s="32">
        <f>P10</f>
        <v>0.91230910786150843</v>
      </c>
      <c r="O10" t="s">
        <v>35</v>
      </c>
      <c r="P10" s="32">
        <f>P29</f>
        <v>0.91230910786150843</v>
      </c>
    </row>
    <row r="11" spans="2:16" x14ac:dyDescent="0.3">
      <c r="B11" s="24">
        <v>45383</v>
      </c>
      <c r="C11" s="26">
        <v>2796.21</v>
      </c>
      <c r="G11" s="24">
        <v>45383</v>
      </c>
      <c r="H11" s="26">
        <v>22513.7</v>
      </c>
      <c r="K11" t="s">
        <v>63</v>
      </c>
      <c r="M11" s="13">
        <v>0.75</v>
      </c>
    </row>
    <row r="12" spans="2:16" x14ac:dyDescent="0.3">
      <c r="B12" s="24">
        <v>45390</v>
      </c>
      <c r="C12" s="26">
        <v>2768.13</v>
      </c>
      <c r="D12" s="27">
        <f>(C12-C11)/C12</f>
        <v>-1.014403225282047E-2</v>
      </c>
      <c r="G12" s="24">
        <v>45390</v>
      </c>
      <c r="H12" s="26">
        <v>22519.4</v>
      </c>
      <c r="I12" s="27">
        <f>(H12-H11)/H11</f>
        <v>2.5317917534659908E-4</v>
      </c>
      <c r="O12" t="s">
        <v>36</v>
      </c>
    </row>
    <row r="13" spans="2:16" ht="15" thickBot="1" x14ac:dyDescent="0.35">
      <c r="B13" s="24">
        <v>45397</v>
      </c>
      <c r="C13" s="26">
        <v>2723.57</v>
      </c>
      <c r="D13" s="27">
        <f t="shared" ref="D13:D76" si="0">(C13-C12)/C13</f>
        <v>-1.6360879287112114E-2</v>
      </c>
      <c r="G13" s="24">
        <v>45397</v>
      </c>
      <c r="H13" s="26">
        <v>22147</v>
      </c>
      <c r="I13" s="27">
        <f t="shared" ref="I13:I76" si="1">(H13-H12)/H12</f>
        <v>-1.6536852669254129E-2</v>
      </c>
      <c r="K13" t="s">
        <v>64</v>
      </c>
      <c r="M13">
        <v>1</v>
      </c>
    </row>
    <row r="14" spans="2:16" x14ac:dyDescent="0.3">
      <c r="B14" s="24">
        <v>45404</v>
      </c>
      <c r="C14" s="26">
        <v>2758.1</v>
      </c>
      <c r="D14" s="27">
        <f t="shared" si="0"/>
        <v>1.2519488053369983E-2</v>
      </c>
      <c r="G14" s="24">
        <v>45404</v>
      </c>
      <c r="H14" s="26">
        <v>22419.95</v>
      </c>
      <c r="I14" s="27">
        <f t="shared" si="1"/>
        <v>1.2324468325281109E-2</v>
      </c>
      <c r="K14" t="s">
        <v>65</v>
      </c>
      <c r="M14" s="13">
        <v>0.25</v>
      </c>
      <c r="O14" s="37" t="s">
        <v>37</v>
      </c>
      <c r="P14" s="37"/>
    </row>
    <row r="15" spans="2:16" x14ac:dyDescent="0.3">
      <c r="B15" s="24">
        <v>45411</v>
      </c>
      <c r="C15" s="26">
        <v>2841.11</v>
      </c>
      <c r="D15" s="27">
        <f t="shared" si="0"/>
        <v>2.9217453741671465E-2</v>
      </c>
      <c r="G15" s="24">
        <v>45411</v>
      </c>
      <c r="H15" s="26">
        <v>22475.85</v>
      </c>
      <c r="I15" s="27">
        <f t="shared" si="1"/>
        <v>2.4933151055197634E-3</v>
      </c>
      <c r="O15" t="s">
        <v>38</v>
      </c>
      <c r="P15">
        <v>0.49118858961119688</v>
      </c>
    </row>
    <row r="16" spans="2:16" x14ac:dyDescent="0.3">
      <c r="B16" s="24">
        <v>45418</v>
      </c>
      <c r="C16" s="26">
        <v>2687.4</v>
      </c>
      <c r="D16" s="27">
        <f t="shared" si="0"/>
        <v>-5.7196546848254828E-2</v>
      </c>
      <c r="G16" s="24">
        <v>45418</v>
      </c>
      <c r="H16" s="26">
        <v>22055.200000000001</v>
      </c>
      <c r="I16" s="27">
        <f t="shared" si="1"/>
        <v>-1.8715643679771746E-2</v>
      </c>
      <c r="K16" s="39" t="s">
        <v>66</v>
      </c>
      <c r="L16" s="39"/>
      <c r="M16" s="9">
        <f>(M10*M11) + (M13*M14)</f>
        <v>0.93423183089613127</v>
      </c>
      <c r="O16" t="s">
        <v>39</v>
      </c>
      <c r="P16">
        <v>0.24126623056423677</v>
      </c>
    </row>
    <row r="17" spans="2:23" x14ac:dyDescent="0.3">
      <c r="B17" s="24">
        <v>45425</v>
      </c>
      <c r="C17" s="26">
        <v>2731.14</v>
      </c>
      <c r="D17" s="27">
        <f t="shared" si="0"/>
        <v>1.6015290318328532E-2</v>
      </c>
      <c r="G17" s="24">
        <v>45425</v>
      </c>
      <c r="H17" s="26">
        <v>22466.1</v>
      </c>
      <c r="I17" s="27">
        <f t="shared" si="1"/>
        <v>1.8630527041241875E-2</v>
      </c>
      <c r="O17" t="s">
        <v>40</v>
      </c>
      <c r="P17">
        <v>0.23382766419721945</v>
      </c>
    </row>
    <row r="18" spans="2:23" x14ac:dyDescent="0.3">
      <c r="B18" s="24">
        <v>45432</v>
      </c>
      <c r="C18" s="26">
        <v>2787.77</v>
      </c>
      <c r="D18" s="27">
        <f t="shared" si="0"/>
        <v>2.0313727459582428E-2</v>
      </c>
      <c r="G18" s="24">
        <v>45432</v>
      </c>
      <c r="H18" s="26">
        <v>22957.1</v>
      </c>
      <c r="I18" s="27">
        <f t="shared" si="1"/>
        <v>2.1855150649200353E-2</v>
      </c>
      <c r="O18" t="s">
        <v>41</v>
      </c>
      <c r="P18">
        <v>2.9491353835267155E-2</v>
      </c>
    </row>
    <row r="19" spans="2:23" ht="15" thickBot="1" x14ac:dyDescent="0.35">
      <c r="B19" s="24">
        <v>45439</v>
      </c>
      <c r="C19" s="26">
        <v>2794.03</v>
      </c>
      <c r="D19" s="27">
        <f t="shared" si="0"/>
        <v>2.2404913333071647E-3</v>
      </c>
      <c r="G19" s="24">
        <v>45439</v>
      </c>
      <c r="H19" s="26">
        <v>22530.7</v>
      </c>
      <c r="I19" s="27">
        <f t="shared" si="1"/>
        <v>-1.8573774562117944E-2</v>
      </c>
      <c r="O19" s="35" t="s">
        <v>42</v>
      </c>
      <c r="P19" s="35">
        <v>104</v>
      </c>
    </row>
    <row r="20" spans="2:23" x14ac:dyDescent="0.3">
      <c r="B20" s="24">
        <v>45446</v>
      </c>
      <c r="C20" s="26">
        <v>2839.12</v>
      </c>
      <c r="D20" s="27">
        <f t="shared" si="0"/>
        <v>1.5881681647834434E-2</v>
      </c>
      <c r="G20" s="24">
        <v>45446</v>
      </c>
      <c r="H20" s="26">
        <v>23290.15</v>
      </c>
      <c r="I20" s="27">
        <f t="shared" si="1"/>
        <v>3.3707341538434257E-2</v>
      </c>
    </row>
    <row r="21" spans="2:23" ht="15" thickBot="1" x14ac:dyDescent="0.35">
      <c r="B21" s="24">
        <v>45453</v>
      </c>
      <c r="C21" s="26">
        <v>2860.62</v>
      </c>
      <c r="D21" s="27">
        <f t="shared" si="0"/>
        <v>7.5158532066475102E-3</v>
      </c>
      <c r="G21" s="24">
        <v>45453</v>
      </c>
      <c r="H21" s="26">
        <v>23465.599999999999</v>
      </c>
      <c r="I21" s="27">
        <f t="shared" si="1"/>
        <v>7.5332275661598178E-3</v>
      </c>
      <c r="O21" t="s">
        <v>43</v>
      </c>
    </row>
    <row r="22" spans="2:23" x14ac:dyDescent="0.3">
      <c r="B22" s="24">
        <v>45460</v>
      </c>
      <c r="C22" s="26">
        <v>2830.51</v>
      </c>
      <c r="D22" s="27">
        <f t="shared" si="0"/>
        <v>-1.063765893778848E-2</v>
      </c>
      <c r="G22" s="24">
        <v>45460</v>
      </c>
      <c r="H22" s="26">
        <v>23501.1</v>
      </c>
      <c r="I22" s="27">
        <f t="shared" si="1"/>
        <v>1.5128528569480432E-3</v>
      </c>
      <c r="O22" s="36"/>
      <c r="P22" s="36" t="s">
        <v>48</v>
      </c>
      <c r="Q22" s="36" t="s">
        <v>49</v>
      </c>
      <c r="R22" s="36" t="s">
        <v>50</v>
      </c>
      <c r="S22" s="36" t="s">
        <v>51</v>
      </c>
      <c r="T22" s="36" t="s">
        <v>52</v>
      </c>
    </row>
    <row r="23" spans="2:23" x14ac:dyDescent="0.3">
      <c r="B23" s="24">
        <v>45467</v>
      </c>
      <c r="C23" s="26">
        <v>2856.16</v>
      </c>
      <c r="D23" s="27">
        <f t="shared" si="0"/>
        <v>8.980589322726891E-3</v>
      </c>
      <c r="G23" s="24">
        <v>45467</v>
      </c>
      <c r="H23" s="26">
        <v>24010.6</v>
      </c>
      <c r="I23" s="27">
        <f t="shared" si="1"/>
        <v>2.1679836262983435E-2</v>
      </c>
      <c r="O23" t="s">
        <v>44</v>
      </c>
      <c r="P23">
        <v>1</v>
      </c>
      <c r="Q23">
        <v>2.8209586256866898E-2</v>
      </c>
      <c r="R23">
        <v>2.8209586256866898E-2</v>
      </c>
      <c r="S23">
        <v>32.434506685860171</v>
      </c>
      <c r="T23">
        <v>1.1956638783100679E-7</v>
      </c>
    </row>
    <row r="24" spans="2:23" x14ac:dyDescent="0.3">
      <c r="B24" s="24">
        <v>45474</v>
      </c>
      <c r="C24" s="26">
        <v>2874.62</v>
      </c>
      <c r="D24" s="27">
        <f t="shared" si="0"/>
        <v>6.4217183488600362E-3</v>
      </c>
      <c r="G24" s="24">
        <v>45474</v>
      </c>
      <c r="H24" s="26">
        <v>24323.85</v>
      </c>
      <c r="I24" s="27">
        <f t="shared" si="1"/>
        <v>1.3046321208133075E-2</v>
      </c>
      <c r="O24" t="s">
        <v>45</v>
      </c>
      <c r="P24">
        <v>102</v>
      </c>
      <c r="Q24">
        <v>8.8713475005766526E-2</v>
      </c>
      <c r="R24">
        <v>8.6973995103692674E-4</v>
      </c>
    </row>
    <row r="25" spans="2:23" ht="15" thickBot="1" x14ac:dyDescent="0.35">
      <c r="B25" s="24">
        <v>45481</v>
      </c>
      <c r="C25" s="26">
        <v>2936.55</v>
      </c>
      <c r="D25" s="27">
        <f t="shared" si="0"/>
        <v>2.1089373584648751E-2</v>
      </c>
      <c r="G25" s="24">
        <v>45481</v>
      </c>
      <c r="H25" s="26">
        <v>24502.15</v>
      </c>
      <c r="I25" s="27">
        <f t="shared" si="1"/>
        <v>7.3302540510652272E-3</v>
      </c>
      <c r="O25" s="35" t="s">
        <v>46</v>
      </c>
      <c r="P25" s="35">
        <v>103</v>
      </c>
      <c r="Q25" s="35">
        <v>0.11692306126263342</v>
      </c>
      <c r="R25" s="35"/>
      <c r="S25" s="35"/>
      <c r="T25" s="35"/>
    </row>
    <row r="26" spans="2:23" ht="15" thickBot="1" x14ac:dyDescent="0.35">
      <c r="B26" s="24">
        <v>45488</v>
      </c>
      <c r="C26" s="26">
        <v>2884.56</v>
      </c>
      <c r="D26" s="27">
        <f t="shared" si="0"/>
        <v>-1.8023546052084283E-2</v>
      </c>
      <c r="G26" s="24">
        <v>45488</v>
      </c>
      <c r="H26" s="26">
        <v>24530.9</v>
      </c>
      <c r="I26" s="27">
        <f t="shared" si="1"/>
        <v>1.1733664188652831E-3</v>
      </c>
    </row>
    <row r="27" spans="2:23" x14ac:dyDescent="0.3">
      <c r="B27" s="24">
        <v>45495</v>
      </c>
      <c r="C27" s="26">
        <v>2888.57</v>
      </c>
      <c r="D27" s="27">
        <f t="shared" si="0"/>
        <v>1.3882301623295327E-3</v>
      </c>
      <c r="G27" s="24">
        <v>45495</v>
      </c>
      <c r="H27" s="26">
        <v>24834.85</v>
      </c>
      <c r="I27" s="27">
        <f t="shared" si="1"/>
        <v>1.2390495252925782E-2</v>
      </c>
      <c r="O27" s="36"/>
      <c r="P27" s="36" t="s">
        <v>53</v>
      </c>
      <c r="Q27" s="36" t="s">
        <v>41</v>
      </c>
      <c r="R27" s="36" t="s">
        <v>54</v>
      </c>
      <c r="S27" s="36" t="s">
        <v>55</v>
      </c>
      <c r="T27" s="36" t="s">
        <v>56</v>
      </c>
      <c r="U27" s="36" t="s">
        <v>57</v>
      </c>
      <c r="V27" s="36" t="s">
        <v>58</v>
      </c>
      <c r="W27" s="36" t="s">
        <v>59</v>
      </c>
    </row>
    <row r="28" spans="2:23" x14ac:dyDescent="0.3">
      <c r="B28" s="24">
        <v>45502</v>
      </c>
      <c r="C28" s="26">
        <v>3041.85</v>
      </c>
      <c r="D28" s="27">
        <f t="shared" si="0"/>
        <v>5.0390387428702846E-2</v>
      </c>
      <c r="G28" s="24">
        <v>45502</v>
      </c>
      <c r="H28" s="26">
        <v>24717.7</v>
      </c>
      <c r="I28" s="27">
        <f t="shared" si="1"/>
        <v>-4.7171615693268861E-3</v>
      </c>
      <c r="O28" t="s">
        <v>47</v>
      </c>
      <c r="P28">
        <v>-3.1738465260280038E-3</v>
      </c>
      <c r="Q28">
        <v>2.8918974613449575E-3</v>
      </c>
      <c r="R28">
        <v>-1.0974962177780392</v>
      </c>
      <c r="S28">
        <v>0.27500866760668746</v>
      </c>
      <c r="T28">
        <v>-8.9099114288557595E-3</v>
      </c>
      <c r="U28">
        <v>2.5622183767997522E-3</v>
      </c>
      <c r="V28">
        <v>-8.9099114288557595E-3</v>
      </c>
      <c r="W28">
        <v>2.5622183767997522E-3</v>
      </c>
    </row>
    <row r="29" spans="2:23" ht="15" thickBot="1" x14ac:dyDescent="0.35">
      <c r="B29" s="24">
        <v>45509</v>
      </c>
      <c r="C29" s="26">
        <v>2977.13</v>
      </c>
      <c r="D29" s="27">
        <f t="shared" si="0"/>
        <v>-2.1739057414355369E-2</v>
      </c>
      <c r="G29" s="24">
        <v>45509</v>
      </c>
      <c r="H29" s="26">
        <v>24367.5</v>
      </c>
      <c r="I29" s="27">
        <f t="shared" si="1"/>
        <v>-1.416798488532512E-2</v>
      </c>
      <c r="O29" s="35" t="s">
        <v>60</v>
      </c>
      <c r="P29" s="35">
        <v>0.91230910786150843</v>
      </c>
      <c r="Q29" s="35">
        <v>0.16019109207940507</v>
      </c>
      <c r="R29" s="35">
        <v>5.6951300850691888</v>
      </c>
      <c r="S29" s="35">
        <v>1.1956638783100589E-7</v>
      </c>
      <c r="T29" s="35">
        <v>0.59457083625799856</v>
      </c>
      <c r="U29" s="35">
        <v>1.2300473794650184</v>
      </c>
      <c r="V29" s="35">
        <v>0.59457083625799856</v>
      </c>
      <c r="W29" s="35">
        <v>1.2300473794650184</v>
      </c>
    </row>
    <row r="30" spans="2:23" x14ac:dyDescent="0.3">
      <c r="B30" s="24">
        <v>45516</v>
      </c>
      <c r="C30" s="26">
        <v>2984.52</v>
      </c>
      <c r="D30" s="27">
        <f t="shared" si="0"/>
        <v>2.4761100612493373E-3</v>
      </c>
      <c r="G30" s="24">
        <v>45516</v>
      </c>
      <c r="H30" s="26">
        <v>24541.15</v>
      </c>
      <c r="I30" s="27">
        <f t="shared" si="1"/>
        <v>7.1262952703396512E-3</v>
      </c>
    </row>
    <row r="31" spans="2:23" x14ac:dyDescent="0.3">
      <c r="B31" s="24">
        <v>45523</v>
      </c>
      <c r="C31" s="26">
        <v>3088.8</v>
      </c>
      <c r="D31" s="27">
        <f t="shared" si="0"/>
        <v>3.3760683760683821E-2</v>
      </c>
      <c r="G31" s="24">
        <v>45523</v>
      </c>
      <c r="H31" s="26">
        <v>24823.15</v>
      </c>
      <c r="I31" s="27">
        <f t="shared" si="1"/>
        <v>1.1490904052988551E-2</v>
      </c>
    </row>
    <row r="32" spans="2:23" x14ac:dyDescent="0.3">
      <c r="B32" s="24">
        <v>45530</v>
      </c>
      <c r="C32" s="26">
        <v>3061.53</v>
      </c>
      <c r="D32" s="27">
        <f t="shared" si="0"/>
        <v>-8.9073110503571674E-3</v>
      </c>
      <c r="G32" s="24">
        <v>45530</v>
      </c>
      <c r="H32" s="26">
        <v>25235.9</v>
      </c>
      <c r="I32" s="27">
        <f t="shared" si="1"/>
        <v>1.6627623810837867E-2</v>
      </c>
    </row>
    <row r="33" spans="2:9" x14ac:dyDescent="0.3">
      <c r="B33" s="24">
        <v>45537</v>
      </c>
      <c r="C33" s="26">
        <v>3205.37</v>
      </c>
      <c r="D33" s="27">
        <f t="shared" si="0"/>
        <v>4.4874694653035278E-2</v>
      </c>
      <c r="G33" s="24">
        <v>45537</v>
      </c>
      <c r="H33" s="26">
        <v>24852.15</v>
      </c>
      <c r="I33" s="27">
        <f t="shared" si="1"/>
        <v>-1.5206511358818191E-2</v>
      </c>
    </row>
    <row r="34" spans="2:9" x14ac:dyDescent="0.3">
      <c r="B34" s="24">
        <v>45544</v>
      </c>
      <c r="C34" s="26">
        <v>3287.96</v>
      </c>
      <c r="D34" s="27">
        <f t="shared" si="0"/>
        <v>2.5118918721638992E-2</v>
      </c>
      <c r="G34" s="24">
        <v>45544</v>
      </c>
      <c r="H34" s="26">
        <v>25356.5</v>
      </c>
      <c r="I34" s="27">
        <f t="shared" si="1"/>
        <v>2.029401882734486E-2</v>
      </c>
    </row>
    <row r="35" spans="2:9" x14ac:dyDescent="0.3">
      <c r="B35" s="24">
        <v>45551</v>
      </c>
      <c r="C35" s="26">
        <v>3237.92</v>
      </c>
      <c r="D35" s="27">
        <f t="shared" si="0"/>
        <v>-1.5454365765676719E-2</v>
      </c>
      <c r="G35" s="24">
        <v>45551</v>
      </c>
      <c r="H35" s="26">
        <v>25790.95</v>
      </c>
      <c r="I35" s="27">
        <f t="shared" si="1"/>
        <v>1.7133673811448771E-2</v>
      </c>
    </row>
    <row r="36" spans="2:9" x14ac:dyDescent="0.3">
      <c r="B36" s="24">
        <v>45558</v>
      </c>
      <c r="C36" s="26">
        <v>3241.64</v>
      </c>
      <c r="D36" s="27">
        <f t="shared" si="0"/>
        <v>1.1475672807590603E-3</v>
      </c>
      <c r="G36" s="24">
        <v>45558</v>
      </c>
      <c r="H36" s="26">
        <v>26178.95</v>
      </c>
      <c r="I36" s="27">
        <f t="shared" si="1"/>
        <v>1.5044036764834175E-2</v>
      </c>
    </row>
    <row r="37" spans="2:9" x14ac:dyDescent="0.3">
      <c r="B37" s="24">
        <v>45565</v>
      </c>
      <c r="C37" s="26">
        <v>3008.37</v>
      </c>
      <c r="D37" s="27">
        <f t="shared" si="0"/>
        <v>-7.7540329148342788E-2</v>
      </c>
      <c r="G37" s="24">
        <v>45565</v>
      </c>
      <c r="H37" s="26">
        <v>25014.6</v>
      </c>
      <c r="I37" s="27">
        <f t="shared" si="1"/>
        <v>-4.4476573735768708E-2</v>
      </c>
    </row>
    <row r="38" spans="2:9" x14ac:dyDescent="0.3">
      <c r="B38" s="24">
        <v>45572</v>
      </c>
      <c r="C38" s="26">
        <v>2973.8</v>
      </c>
      <c r="D38" s="27">
        <f t="shared" si="0"/>
        <v>-1.1624857085210744E-2</v>
      </c>
      <c r="G38" s="24">
        <v>45572</v>
      </c>
      <c r="H38" s="26">
        <v>24964.25</v>
      </c>
      <c r="I38" s="27">
        <f t="shared" si="1"/>
        <v>-2.012824510485818E-3</v>
      </c>
    </row>
    <row r="39" spans="2:9" x14ac:dyDescent="0.3">
      <c r="B39" s="24">
        <v>45579</v>
      </c>
      <c r="C39" s="26">
        <v>2929.69</v>
      </c>
      <c r="D39" s="27">
        <f t="shared" si="0"/>
        <v>-1.5056200485375629E-2</v>
      </c>
      <c r="G39" s="24">
        <v>45579</v>
      </c>
      <c r="H39" s="26">
        <v>24854.05</v>
      </c>
      <c r="I39" s="27">
        <f t="shared" si="1"/>
        <v>-4.4143124668275923E-3</v>
      </c>
    </row>
    <row r="40" spans="2:9" x14ac:dyDescent="0.3">
      <c r="B40" s="24">
        <v>45586</v>
      </c>
      <c r="C40" s="26">
        <v>2896.26</v>
      </c>
      <c r="D40" s="27">
        <f t="shared" si="0"/>
        <v>-1.1542472015633898E-2</v>
      </c>
      <c r="G40" s="24">
        <v>45586</v>
      </c>
      <c r="H40" s="26">
        <v>24180.799999999999</v>
      </c>
      <c r="I40" s="27">
        <f t="shared" si="1"/>
        <v>-2.7088140564616229E-2</v>
      </c>
    </row>
    <row r="41" spans="2:9" x14ac:dyDescent="0.3">
      <c r="B41" s="24">
        <v>45593</v>
      </c>
      <c r="C41" s="26">
        <v>2878.48</v>
      </c>
      <c r="D41" s="27">
        <f t="shared" si="0"/>
        <v>-6.1768711264279068E-3</v>
      </c>
      <c r="G41" s="24">
        <v>45593</v>
      </c>
      <c r="H41" s="26">
        <v>24304.35</v>
      </c>
      <c r="I41" s="27">
        <f t="shared" si="1"/>
        <v>5.1094256600277606E-3</v>
      </c>
    </row>
    <row r="42" spans="2:9" x14ac:dyDescent="0.3">
      <c r="B42" s="24">
        <v>45600</v>
      </c>
      <c r="C42" s="26">
        <v>2711.64</v>
      </c>
      <c r="D42" s="27">
        <f t="shared" si="0"/>
        <v>-6.1527341387499872E-2</v>
      </c>
      <c r="G42" s="24">
        <v>45600</v>
      </c>
      <c r="H42" s="26">
        <v>24148.2</v>
      </c>
      <c r="I42" s="27">
        <f t="shared" si="1"/>
        <v>-6.424775811737316E-3</v>
      </c>
    </row>
    <row r="43" spans="2:9" x14ac:dyDescent="0.3">
      <c r="B43" s="24">
        <v>45607</v>
      </c>
      <c r="C43" s="26">
        <v>2431.3200000000002</v>
      </c>
      <c r="D43" s="27">
        <f t="shared" si="0"/>
        <v>-0.11529539509402287</v>
      </c>
      <c r="G43" s="24">
        <v>45607</v>
      </c>
      <c r="H43" s="26">
        <v>23532.7</v>
      </c>
      <c r="I43" s="27">
        <f t="shared" si="1"/>
        <v>-2.5488442202731467E-2</v>
      </c>
    </row>
    <row r="44" spans="2:9" x14ac:dyDescent="0.3">
      <c r="B44" s="24">
        <v>45614</v>
      </c>
      <c r="C44" s="26">
        <v>2424.75</v>
      </c>
      <c r="D44" s="27">
        <f t="shared" si="0"/>
        <v>-2.7095576863594862E-3</v>
      </c>
      <c r="G44" s="24">
        <v>45614</v>
      </c>
      <c r="H44" s="26">
        <v>23907.25</v>
      </c>
      <c r="I44" s="27">
        <f t="shared" si="1"/>
        <v>1.5916150717937137E-2</v>
      </c>
    </row>
    <row r="45" spans="2:9" x14ac:dyDescent="0.3">
      <c r="B45" s="24">
        <v>45621</v>
      </c>
      <c r="C45" s="26">
        <v>2432</v>
      </c>
      <c r="D45" s="27">
        <f t="shared" si="0"/>
        <v>2.9810855263157896E-3</v>
      </c>
      <c r="G45" s="24">
        <v>45621</v>
      </c>
      <c r="H45" s="26">
        <v>24131.1</v>
      </c>
      <c r="I45" s="27">
        <f t="shared" si="1"/>
        <v>9.3632684645870417E-3</v>
      </c>
    </row>
    <row r="46" spans="2:9" x14ac:dyDescent="0.3">
      <c r="B46" s="24">
        <v>45628</v>
      </c>
      <c r="C46" s="26">
        <v>2383.06</v>
      </c>
      <c r="D46" s="27">
        <f t="shared" si="0"/>
        <v>-2.0536620983105779E-2</v>
      </c>
      <c r="G46" s="24">
        <v>45628</v>
      </c>
      <c r="H46" s="26">
        <v>24677.8</v>
      </c>
      <c r="I46" s="27">
        <f t="shared" si="1"/>
        <v>2.265541148144928E-2</v>
      </c>
    </row>
    <row r="47" spans="2:9" x14ac:dyDescent="0.3">
      <c r="B47" s="24">
        <v>45635</v>
      </c>
      <c r="C47" s="26">
        <v>2361.4299999999998</v>
      </c>
      <c r="D47" s="27">
        <f t="shared" si="0"/>
        <v>-9.1597040776140344E-3</v>
      </c>
      <c r="G47" s="24">
        <v>45635</v>
      </c>
      <c r="H47" s="26">
        <v>24768.3</v>
      </c>
      <c r="I47" s="27">
        <f t="shared" si="1"/>
        <v>3.6672636944946472E-3</v>
      </c>
    </row>
    <row r="48" spans="2:9" x14ac:dyDescent="0.3">
      <c r="B48" s="24">
        <v>45642</v>
      </c>
      <c r="C48" s="26">
        <v>2238.54</v>
      </c>
      <c r="D48" s="27">
        <f t="shared" si="0"/>
        <v>-5.4897388476417612E-2</v>
      </c>
      <c r="G48" s="24">
        <v>45642</v>
      </c>
      <c r="H48" s="26">
        <v>23587.5</v>
      </c>
      <c r="I48" s="27">
        <f t="shared" si="1"/>
        <v>-4.7673841159869647E-2</v>
      </c>
    </row>
    <row r="49" spans="2:9" x14ac:dyDescent="0.3">
      <c r="B49" s="24">
        <v>45649</v>
      </c>
      <c r="C49" s="26">
        <v>2227.8000000000002</v>
      </c>
      <c r="D49" s="27">
        <f t="shared" si="0"/>
        <v>-4.8208995421491069E-3</v>
      </c>
      <c r="G49" s="24">
        <v>45649</v>
      </c>
      <c r="H49" s="26">
        <v>23813.4</v>
      </c>
      <c r="I49" s="27">
        <f t="shared" si="1"/>
        <v>9.5771065182830503E-3</v>
      </c>
    </row>
    <row r="50" spans="2:9" x14ac:dyDescent="0.3">
      <c r="B50" s="24">
        <v>45656</v>
      </c>
      <c r="C50" s="26">
        <v>2291.11</v>
      </c>
      <c r="D50" s="27">
        <f t="shared" si="0"/>
        <v>2.7632894099366659E-2</v>
      </c>
      <c r="G50" s="24">
        <v>45656</v>
      </c>
      <c r="H50" s="26">
        <v>24004.75</v>
      </c>
      <c r="I50" s="27">
        <f t="shared" si="1"/>
        <v>8.0353918382086772E-3</v>
      </c>
    </row>
    <row r="51" spans="2:9" x14ac:dyDescent="0.3">
      <c r="B51" s="24">
        <v>45663</v>
      </c>
      <c r="C51" s="26">
        <v>2276.1999999999998</v>
      </c>
      <c r="D51" s="27">
        <f t="shared" si="0"/>
        <v>-6.5503910025482429E-3</v>
      </c>
      <c r="G51" s="24">
        <v>45663</v>
      </c>
      <c r="H51" s="26">
        <v>23431.5</v>
      </c>
      <c r="I51" s="27">
        <f t="shared" si="1"/>
        <v>-2.3880690280048741E-2</v>
      </c>
    </row>
    <row r="52" spans="2:9" x14ac:dyDescent="0.3">
      <c r="B52" s="24">
        <v>45670</v>
      </c>
      <c r="C52" s="26">
        <v>2217.6</v>
      </c>
      <c r="D52" s="27">
        <f t="shared" si="0"/>
        <v>-2.6424963924963886E-2</v>
      </c>
      <c r="G52" s="24">
        <v>45670</v>
      </c>
      <c r="H52" s="26">
        <v>23203.200000000001</v>
      </c>
      <c r="I52" s="27">
        <f t="shared" si="1"/>
        <v>-9.7432942833365031E-3</v>
      </c>
    </row>
    <row r="53" spans="2:9" x14ac:dyDescent="0.3">
      <c r="B53" s="24">
        <v>45677</v>
      </c>
      <c r="C53" s="26">
        <v>2218.9699999999998</v>
      </c>
      <c r="D53" s="27">
        <f t="shared" si="0"/>
        <v>6.1740357012482862E-4</v>
      </c>
      <c r="G53" s="24">
        <v>45677</v>
      </c>
      <c r="H53" s="26">
        <v>23092.2</v>
      </c>
      <c r="I53" s="27">
        <f t="shared" si="1"/>
        <v>-4.7838229209764167E-3</v>
      </c>
    </row>
    <row r="54" spans="2:9" x14ac:dyDescent="0.3">
      <c r="B54" s="24">
        <v>45684</v>
      </c>
      <c r="C54" s="26">
        <v>2306.02</v>
      </c>
      <c r="D54" s="27">
        <f t="shared" si="0"/>
        <v>3.7749022124699778E-2</v>
      </c>
      <c r="G54" s="24">
        <v>45684</v>
      </c>
      <c r="H54" s="26">
        <v>23482.15</v>
      </c>
      <c r="I54" s="27">
        <f t="shared" si="1"/>
        <v>1.6886654368141654E-2</v>
      </c>
    </row>
    <row r="55" spans="2:9" x14ac:dyDescent="0.3">
      <c r="B55" s="24">
        <v>45691</v>
      </c>
      <c r="C55" s="26">
        <v>2227.41</v>
      </c>
      <c r="D55" s="27">
        <f t="shared" si="0"/>
        <v>-3.5292110567879342E-2</v>
      </c>
      <c r="G55" s="24">
        <v>45691</v>
      </c>
      <c r="H55" s="26">
        <v>23559.95</v>
      </c>
      <c r="I55" s="27">
        <f t="shared" si="1"/>
        <v>3.313154885732323E-3</v>
      </c>
    </row>
    <row r="56" spans="2:9" x14ac:dyDescent="0.3">
      <c r="B56" s="24">
        <v>45698</v>
      </c>
      <c r="C56" s="26">
        <v>2188.4699999999998</v>
      </c>
      <c r="D56" s="27">
        <f t="shared" si="0"/>
        <v>-1.7793252820463637E-2</v>
      </c>
      <c r="G56" s="24">
        <v>45698</v>
      </c>
      <c r="H56" s="26">
        <v>22929.25</v>
      </c>
      <c r="I56" s="27">
        <f t="shared" si="1"/>
        <v>-2.6770005878620315E-2</v>
      </c>
    </row>
    <row r="57" spans="2:9" x14ac:dyDescent="0.3">
      <c r="B57" s="24">
        <v>45705</v>
      </c>
      <c r="C57" s="26">
        <v>2214.2600000000002</v>
      </c>
      <c r="D57" s="27">
        <f t="shared" si="0"/>
        <v>1.1647232032372177E-2</v>
      </c>
      <c r="G57" s="24">
        <v>45705</v>
      </c>
      <c r="H57" s="26">
        <v>22795.9</v>
      </c>
      <c r="I57" s="27">
        <f t="shared" si="1"/>
        <v>-5.8157157342694828E-3</v>
      </c>
    </row>
    <row r="58" spans="2:9" x14ac:dyDescent="0.3">
      <c r="B58" s="24">
        <v>45712</v>
      </c>
      <c r="C58" s="26">
        <v>2137.91</v>
      </c>
      <c r="D58" s="27">
        <f t="shared" si="0"/>
        <v>-3.5712448138602824E-2</v>
      </c>
      <c r="G58" s="24">
        <v>45712</v>
      </c>
      <c r="H58" s="26">
        <v>22124.7</v>
      </c>
      <c r="I58" s="27">
        <f t="shared" si="1"/>
        <v>-2.9443891226053839E-2</v>
      </c>
    </row>
    <row r="59" spans="2:9" x14ac:dyDescent="0.3">
      <c r="B59" s="24">
        <v>45719</v>
      </c>
      <c r="C59" s="26">
        <v>2226.4299999999998</v>
      </c>
      <c r="D59" s="27">
        <f t="shared" si="0"/>
        <v>3.9758716869607393E-2</v>
      </c>
      <c r="G59" s="24">
        <v>45719</v>
      </c>
      <c r="H59" s="26">
        <v>22552.5</v>
      </c>
      <c r="I59" s="27">
        <f t="shared" si="1"/>
        <v>1.9335855401429139E-2</v>
      </c>
    </row>
    <row r="60" spans="2:9" x14ac:dyDescent="0.3">
      <c r="B60" s="24">
        <v>45726</v>
      </c>
      <c r="C60" s="26">
        <v>2188.4699999999998</v>
      </c>
      <c r="D60" s="27">
        <f t="shared" si="0"/>
        <v>-1.7345451388412928E-2</v>
      </c>
      <c r="G60" s="24">
        <v>45726</v>
      </c>
      <c r="H60" s="26">
        <v>22397.200000000001</v>
      </c>
      <c r="I60" s="27">
        <f t="shared" si="1"/>
        <v>-6.8861545283227703E-3</v>
      </c>
    </row>
    <row r="61" spans="2:9" x14ac:dyDescent="0.3">
      <c r="B61" s="24">
        <v>45733</v>
      </c>
      <c r="C61" s="26">
        <v>2256.2399999999998</v>
      </c>
      <c r="D61" s="27">
        <f t="shared" si="0"/>
        <v>3.0036698223593231E-2</v>
      </c>
      <c r="G61" s="24">
        <v>45733</v>
      </c>
      <c r="H61" s="26">
        <v>23350.400000000001</v>
      </c>
      <c r="I61" s="27">
        <f t="shared" si="1"/>
        <v>4.2558891289982706E-2</v>
      </c>
    </row>
    <row r="62" spans="2:9" x14ac:dyDescent="0.3">
      <c r="B62" s="24">
        <v>45740</v>
      </c>
      <c r="C62" s="26">
        <v>2295.7199999999998</v>
      </c>
      <c r="D62" s="27">
        <f t="shared" si="0"/>
        <v>1.7197219173069895E-2</v>
      </c>
      <c r="G62" s="24">
        <v>45740</v>
      </c>
      <c r="H62" s="26">
        <v>23519.35</v>
      </c>
      <c r="I62" s="27">
        <f t="shared" si="1"/>
        <v>7.2354220912702596E-3</v>
      </c>
    </row>
    <row r="63" spans="2:9" x14ac:dyDescent="0.3">
      <c r="B63" s="24">
        <v>45747</v>
      </c>
      <c r="C63" s="26">
        <v>2310.8200000000002</v>
      </c>
      <c r="D63" s="27">
        <f t="shared" si="0"/>
        <v>6.5344769389222715E-3</v>
      </c>
      <c r="G63" s="24">
        <v>45747</v>
      </c>
      <c r="H63" s="26">
        <v>22904.45</v>
      </c>
      <c r="I63" s="27">
        <f t="shared" si="1"/>
        <v>-2.614443001188374E-2</v>
      </c>
    </row>
    <row r="64" spans="2:9" x14ac:dyDescent="0.3">
      <c r="B64" s="24">
        <v>45754</v>
      </c>
      <c r="C64" s="26">
        <v>2347.65</v>
      </c>
      <c r="D64" s="27">
        <f t="shared" si="0"/>
        <v>1.5688028453985869E-2</v>
      </c>
      <c r="G64" s="24">
        <v>45754</v>
      </c>
      <c r="H64" s="26">
        <v>22828.55</v>
      </c>
      <c r="I64" s="27">
        <f t="shared" si="1"/>
        <v>-3.3137665388167561E-3</v>
      </c>
    </row>
    <row r="65" spans="2:9" x14ac:dyDescent="0.3">
      <c r="B65" s="24">
        <v>45761</v>
      </c>
      <c r="C65" s="26">
        <v>2420.5300000000002</v>
      </c>
      <c r="D65" s="27">
        <f t="shared" si="0"/>
        <v>3.0109108335777745E-2</v>
      </c>
      <c r="G65" s="24">
        <v>45761</v>
      </c>
      <c r="H65" s="26">
        <v>23851.65</v>
      </c>
      <c r="I65" s="27">
        <f t="shared" si="1"/>
        <v>4.4816687875489342E-2</v>
      </c>
    </row>
    <row r="66" spans="2:9" x14ac:dyDescent="0.3">
      <c r="B66" s="24">
        <v>45768</v>
      </c>
      <c r="C66" s="26">
        <v>2384.92</v>
      </c>
      <c r="D66" s="27">
        <f t="shared" si="0"/>
        <v>-1.4931318450933418E-2</v>
      </c>
      <c r="G66" s="24">
        <v>45768</v>
      </c>
      <c r="H66" s="26">
        <v>24039.35</v>
      </c>
      <c r="I66" s="27">
        <f t="shared" si="1"/>
        <v>7.8694765351662085E-3</v>
      </c>
    </row>
    <row r="67" spans="2:9" x14ac:dyDescent="0.3">
      <c r="B67" s="24">
        <v>45775</v>
      </c>
      <c r="C67" s="26">
        <v>2363.7399999999998</v>
      </c>
      <c r="D67" s="27">
        <f t="shared" si="0"/>
        <v>-8.9603763527292737E-3</v>
      </c>
      <c r="G67" s="24">
        <v>45775</v>
      </c>
      <c r="H67" s="26">
        <v>24346.7</v>
      </c>
      <c r="I67" s="27">
        <f t="shared" si="1"/>
        <v>1.2785287455775726E-2</v>
      </c>
    </row>
    <row r="68" spans="2:9" x14ac:dyDescent="0.3">
      <c r="B68" s="24">
        <v>45782</v>
      </c>
      <c r="C68" s="26">
        <v>2255.46</v>
      </c>
      <c r="D68" s="27">
        <f t="shared" si="0"/>
        <v>-4.8007945164179257E-2</v>
      </c>
      <c r="G68" s="24">
        <v>45782</v>
      </c>
      <c r="H68" s="26">
        <v>24008</v>
      </c>
      <c r="I68" s="27">
        <f t="shared" si="1"/>
        <v>-1.3911536265695175E-2</v>
      </c>
    </row>
    <row r="69" spans="2:9" x14ac:dyDescent="0.3">
      <c r="B69" s="24">
        <v>45789</v>
      </c>
      <c r="C69" s="26">
        <v>2308.42</v>
      </c>
      <c r="D69" s="27">
        <f t="shared" si="0"/>
        <v>2.2942098924805726E-2</v>
      </c>
      <c r="G69" s="24">
        <v>45789</v>
      </c>
      <c r="H69" s="26">
        <v>25019.8</v>
      </c>
      <c r="I69" s="27">
        <f t="shared" si="1"/>
        <v>4.2144285238253885E-2</v>
      </c>
    </row>
    <row r="70" spans="2:9" x14ac:dyDescent="0.3">
      <c r="B70" s="24">
        <v>45796</v>
      </c>
      <c r="C70" s="26">
        <v>2271.0500000000002</v>
      </c>
      <c r="D70" s="27">
        <f t="shared" si="0"/>
        <v>-1.6454943748486335E-2</v>
      </c>
      <c r="G70" s="24">
        <v>45796</v>
      </c>
      <c r="H70" s="26">
        <v>24853.15</v>
      </c>
      <c r="I70" s="27">
        <f t="shared" si="1"/>
        <v>-6.6607247060327347E-3</v>
      </c>
    </row>
    <row r="71" spans="2:9" x14ac:dyDescent="0.3">
      <c r="B71" s="24">
        <v>45803</v>
      </c>
      <c r="C71" s="26">
        <v>2215.7399999999998</v>
      </c>
      <c r="D71" s="27">
        <f t="shared" si="0"/>
        <v>-2.4962315073068325E-2</v>
      </c>
      <c r="G71" s="24">
        <v>45803</v>
      </c>
      <c r="H71" s="26">
        <v>24750.7</v>
      </c>
      <c r="I71" s="27">
        <f t="shared" si="1"/>
        <v>-4.1222138843567402E-3</v>
      </c>
    </row>
    <row r="72" spans="2:9" x14ac:dyDescent="0.3">
      <c r="B72" s="24">
        <v>45810</v>
      </c>
      <c r="C72" s="26">
        <v>2202.1</v>
      </c>
      <c r="D72" s="27">
        <f t="shared" si="0"/>
        <v>-6.1940874619680637E-3</v>
      </c>
      <c r="G72" s="24">
        <v>45810</v>
      </c>
      <c r="H72" s="26">
        <v>25003.05</v>
      </c>
      <c r="I72" s="27">
        <f t="shared" si="1"/>
        <v>1.019567123354081E-2</v>
      </c>
    </row>
    <row r="73" spans="2:9" x14ac:dyDescent="0.3">
      <c r="B73" s="24">
        <v>45817</v>
      </c>
      <c r="C73" s="26">
        <v>2191.73</v>
      </c>
      <c r="D73" s="27">
        <f t="shared" si="0"/>
        <v>-4.7314222098524409E-3</v>
      </c>
      <c r="G73" s="24">
        <v>45817</v>
      </c>
      <c r="H73" s="26">
        <v>24718.6</v>
      </c>
      <c r="I73" s="27">
        <f t="shared" si="1"/>
        <v>-1.1376612053329523E-2</v>
      </c>
    </row>
    <row r="74" spans="2:9" x14ac:dyDescent="0.3">
      <c r="B74" s="24">
        <v>45824</v>
      </c>
      <c r="C74" s="26">
        <v>2262.5100000000002</v>
      </c>
      <c r="D74" s="27">
        <f t="shared" si="0"/>
        <v>3.128383962943819E-2</v>
      </c>
      <c r="G74" s="24">
        <v>45824</v>
      </c>
      <c r="H74" s="26">
        <v>25112.400000000001</v>
      </c>
      <c r="I74" s="27">
        <f t="shared" si="1"/>
        <v>1.5931322971365812E-2</v>
      </c>
    </row>
    <row r="75" spans="2:9" x14ac:dyDescent="0.3">
      <c r="B75" s="24">
        <v>45831</v>
      </c>
      <c r="C75" s="26">
        <v>2334.77</v>
      </c>
      <c r="D75" s="27">
        <f t="shared" si="0"/>
        <v>3.0949515369822194E-2</v>
      </c>
      <c r="G75" s="24">
        <v>45831</v>
      </c>
      <c r="H75" s="26">
        <v>25637.8</v>
      </c>
      <c r="I75" s="27">
        <f t="shared" si="1"/>
        <v>2.0921934980328356E-2</v>
      </c>
    </row>
    <row r="76" spans="2:9" x14ac:dyDescent="0.3">
      <c r="B76" s="24">
        <v>45838</v>
      </c>
      <c r="C76" s="26">
        <v>2399.6</v>
      </c>
      <c r="D76" s="27">
        <f t="shared" si="0"/>
        <v>2.7017002833805606E-2</v>
      </c>
      <c r="G76" s="24">
        <v>45838</v>
      </c>
      <c r="H76" s="26">
        <v>25461</v>
      </c>
      <c r="I76" s="27">
        <f t="shared" si="1"/>
        <v>-6.8960675252946538E-3</v>
      </c>
    </row>
    <row r="77" spans="2:9" x14ac:dyDescent="0.3">
      <c r="B77" s="24">
        <v>45845</v>
      </c>
      <c r="C77" s="26">
        <v>2414.4499999999998</v>
      </c>
      <c r="D77" s="27">
        <f t="shared" ref="D77:D115" si="2">(C77-C76)/C77</f>
        <v>6.1504690509225331E-3</v>
      </c>
      <c r="G77" s="24">
        <v>45845</v>
      </c>
      <c r="H77" s="26">
        <v>25149.85</v>
      </c>
      <c r="I77" s="27">
        <f t="shared" ref="I77:I115" si="3">(H77-H76)/H76</f>
        <v>-1.2220651192019224E-2</v>
      </c>
    </row>
    <row r="78" spans="2:9" x14ac:dyDescent="0.3">
      <c r="B78" s="24">
        <v>45852</v>
      </c>
      <c r="C78" s="26">
        <v>2358.23</v>
      </c>
      <c r="D78" s="27">
        <f t="shared" si="2"/>
        <v>-2.3839913833680261E-2</v>
      </c>
      <c r="G78" s="24">
        <v>45852</v>
      </c>
      <c r="H78" s="26">
        <v>24968.400000000001</v>
      </c>
      <c r="I78" s="27">
        <f t="shared" si="3"/>
        <v>-7.2147547599686317E-3</v>
      </c>
    </row>
    <row r="79" spans="2:9" x14ac:dyDescent="0.3">
      <c r="B79" s="24">
        <v>45859</v>
      </c>
      <c r="C79" s="26">
        <v>2312.5</v>
      </c>
      <c r="D79" s="27">
        <f t="shared" si="2"/>
        <v>-1.9775135135135142E-2</v>
      </c>
      <c r="G79" s="24">
        <v>45859</v>
      </c>
      <c r="H79" s="26">
        <v>24837</v>
      </c>
      <c r="I79" s="27">
        <f t="shared" si="3"/>
        <v>-5.2626519921180953E-3</v>
      </c>
    </row>
    <row r="80" spans="2:9" x14ac:dyDescent="0.3">
      <c r="B80" s="24">
        <v>45866</v>
      </c>
      <c r="C80" s="26">
        <v>2406.33</v>
      </c>
      <c r="D80" s="27">
        <f t="shared" si="2"/>
        <v>3.8992989323991277E-2</v>
      </c>
      <c r="G80" s="24">
        <v>45866</v>
      </c>
      <c r="H80" s="26">
        <v>24565.35</v>
      </c>
      <c r="I80" s="27">
        <f t="shared" si="3"/>
        <v>-1.0937311269477048E-2</v>
      </c>
    </row>
    <row r="81" spans="2:9" x14ac:dyDescent="0.3">
      <c r="B81" s="24">
        <v>45873</v>
      </c>
      <c r="C81" s="26">
        <v>2450.48</v>
      </c>
      <c r="D81" s="27">
        <f t="shared" si="2"/>
        <v>1.8016878325879049E-2</v>
      </c>
      <c r="G81" s="24">
        <v>45873</v>
      </c>
      <c r="H81" s="26">
        <v>24363.3</v>
      </c>
      <c r="I81" s="27">
        <f t="shared" si="3"/>
        <v>-8.224999847345928E-3</v>
      </c>
    </row>
    <row r="82" spans="2:9" x14ac:dyDescent="0.3">
      <c r="B82" s="24">
        <v>45880</v>
      </c>
      <c r="C82" s="26">
        <v>2503.04</v>
      </c>
      <c r="D82" s="27">
        <f t="shared" si="2"/>
        <v>2.0998465865507521E-2</v>
      </c>
      <c r="G82" s="24">
        <v>45880</v>
      </c>
      <c r="H82" s="26">
        <v>24631.3</v>
      </c>
      <c r="I82" s="27">
        <f t="shared" si="3"/>
        <v>1.1000151867768324E-2</v>
      </c>
    </row>
    <row r="83" spans="2:9" x14ac:dyDescent="0.3">
      <c r="B83" s="24">
        <v>45887</v>
      </c>
      <c r="C83" s="26">
        <v>2479.09</v>
      </c>
      <c r="D83" s="27">
        <f t="shared" si="2"/>
        <v>-9.6608029559232689E-3</v>
      </c>
      <c r="G83" s="24">
        <v>45887</v>
      </c>
      <c r="H83" s="26">
        <v>24870.1</v>
      </c>
      <c r="I83" s="27">
        <f t="shared" si="3"/>
        <v>9.6949815884666782E-3</v>
      </c>
    </row>
    <row r="84" spans="2:9" x14ac:dyDescent="0.3">
      <c r="B84" s="24">
        <v>45894</v>
      </c>
      <c r="C84" s="26">
        <v>2493.0500000000002</v>
      </c>
      <c r="D84" s="27">
        <f t="shared" si="2"/>
        <v>5.5995667956920377E-3</v>
      </c>
      <c r="G84" s="24">
        <v>45894</v>
      </c>
      <c r="H84" s="26">
        <v>24426.85</v>
      </c>
      <c r="I84" s="27">
        <f t="shared" si="3"/>
        <v>-1.7822606262138069E-2</v>
      </c>
    </row>
    <row r="85" spans="2:9" x14ac:dyDescent="0.3">
      <c r="B85" s="24">
        <v>45901</v>
      </c>
      <c r="C85" s="26">
        <v>2553.7199999999998</v>
      </c>
      <c r="D85" s="27">
        <f t="shared" si="2"/>
        <v>2.3757498864401587E-2</v>
      </c>
      <c r="G85" s="24">
        <v>45901</v>
      </c>
      <c r="H85" s="26">
        <v>24741</v>
      </c>
      <c r="I85" s="27">
        <f t="shared" si="3"/>
        <v>1.2860847796584557E-2</v>
      </c>
    </row>
    <row r="86" spans="2:9" x14ac:dyDescent="0.3">
      <c r="B86" s="24">
        <v>45908</v>
      </c>
      <c r="C86" s="26">
        <v>2520.46</v>
      </c>
      <c r="D86" s="27">
        <f t="shared" si="2"/>
        <v>-1.3196003904049167E-2</v>
      </c>
      <c r="G86" s="24">
        <v>45908</v>
      </c>
      <c r="H86" s="26">
        <v>25114</v>
      </c>
      <c r="I86" s="27">
        <f t="shared" si="3"/>
        <v>1.5076189321369386E-2</v>
      </c>
    </row>
    <row r="87" spans="2:9" x14ac:dyDescent="0.3">
      <c r="B87" s="24">
        <v>45915</v>
      </c>
      <c r="C87" s="26">
        <v>2456.52</v>
      </c>
      <c r="D87" s="27">
        <f t="shared" si="2"/>
        <v>-2.6028690993763558E-2</v>
      </c>
      <c r="G87" s="24">
        <v>45915</v>
      </c>
      <c r="H87" s="26">
        <v>25327.05</v>
      </c>
      <c r="I87" s="27">
        <f t="shared" si="3"/>
        <v>8.4833160786811843E-3</v>
      </c>
    </row>
    <row r="88" spans="2:9" x14ac:dyDescent="0.3">
      <c r="B88" s="24">
        <v>45922</v>
      </c>
      <c r="C88" s="26">
        <v>2319.0300000000002</v>
      </c>
      <c r="D88" s="27">
        <f t="shared" si="2"/>
        <v>-5.9287719434418601E-2</v>
      </c>
      <c r="G88" s="24">
        <v>45922</v>
      </c>
      <c r="H88" s="26">
        <v>24654.7</v>
      </c>
      <c r="I88" s="27">
        <f t="shared" si="3"/>
        <v>-2.6546715863079141E-2</v>
      </c>
    </row>
    <row r="89" spans="2:9" x14ac:dyDescent="0.3">
      <c r="B89" s="24">
        <v>45929</v>
      </c>
      <c r="C89" s="26">
        <v>2333.88</v>
      </c>
      <c r="D89" s="27">
        <f t="shared" si="2"/>
        <v>6.362795002313704E-3</v>
      </c>
      <c r="G89" s="24">
        <v>45929</v>
      </c>
      <c r="H89" s="26">
        <v>24894.25</v>
      </c>
      <c r="I89" s="27">
        <f t="shared" si="3"/>
        <v>9.7162001565624101E-3</v>
      </c>
    </row>
    <row r="90" spans="2:9" x14ac:dyDescent="0.3">
      <c r="B90" s="24">
        <v>45936</v>
      </c>
      <c r="C90" s="26">
        <v>2316.46</v>
      </c>
      <c r="D90" s="27">
        <f t="shared" si="2"/>
        <v>-7.5200953178557253E-3</v>
      </c>
      <c r="G90" s="24">
        <v>45936</v>
      </c>
      <c r="H90" s="26">
        <v>25285.35</v>
      </c>
      <c r="I90" s="27">
        <f t="shared" si="3"/>
        <v>1.5710455225604249E-2</v>
      </c>
    </row>
    <row r="91" spans="2:9" x14ac:dyDescent="0.3">
      <c r="B91" s="24">
        <v>45943</v>
      </c>
      <c r="C91" s="26">
        <v>2482.36</v>
      </c>
      <c r="D91" s="27">
        <f t="shared" si="2"/>
        <v>6.6831563512141701E-2</v>
      </c>
      <c r="G91" s="24">
        <v>45943</v>
      </c>
      <c r="H91" s="26">
        <v>25709.85</v>
      </c>
      <c r="I91" s="27">
        <f t="shared" si="3"/>
        <v>1.6788377459675267E-2</v>
      </c>
    </row>
    <row r="92" spans="2:9" x14ac:dyDescent="0.3">
      <c r="B92" s="24">
        <v>45950</v>
      </c>
      <c r="C92" s="26">
        <v>2476.2199999999998</v>
      </c>
      <c r="D92" s="27">
        <f t="shared" si="2"/>
        <v>-2.4795858203230442E-3</v>
      </c>
      <c r="G92" s="24">
        <v>45950</v>
      </c>
      <c r="H92" s="26">
        <v>25795.15</v>
      </c>
      <c r="I92" s="27">
        <f t="shared" si="3"/>
        <v>3.3177945417807927E-3</v>
      </c>
    </row>
    <row r="93" spans="2:9" x14ac:dyDescent="0.3">
      <c r="B93" s="24">
        <v>45957</v>
      </c>
      <c r="C93" s="26">
        <v>2485.3200000000002</v>
      </c>
      <c r="D93" s="27">
        <f t="shared" si="2"/>
        <v>3.6615003299375385E-3</v>
      </c>
      <c r="G93" s="24">
        <v>45957</v>
      </c>
      <c r="H93" s="26">
        <v>25722.1</v>
      </c>
      <c r="I93" s="27">
        <f t="shared" si="3"/>
        <v>-2.8319277073404459E-3</v>
      </c>
    </row>
    <row r="94" spans="2:9" x14ac:dyDescent="0.3">
      <c r="B94" s="24">
        <v>45964</v>
      </c>
      <c r="C94" s="26">
        <v>2587.2800000000002</v>
      </c>
      <c r="D94" s="27">
        <f t="shared" si="2"/>
        <v>3.9408181565195891E-2</v>
      </c>
      <c r="G94" s="24">
        <v>45964</v>
      </c>
      <c r="H94" s="26">
        <v>25492.3</v>
      </c>
      <c r="I94" s="27">
        <f t="shared" si="3"/>
        <v>-8.933951737999591E-3</v>
      </c>
    </row>
    <row r="95" spans="2:9" x14ac:dyDescent="0.3">
      <c r="B95" s="24">
        <v>45971</v>
      </c>
      <c r="C95" s="26">
        <v>2876.91</v>
      </c>
      <c r="D95" s="27">
        <f t="shared" si="2"/>
        <v>0.10067398702079651</v>
      </c>
      <c r="G95" s="24">
        <v>45971</v>
      </c>
      <c r="H95" s="26">
        <v>25910.05</v>
      </c>
      <c r="I95" s="27">
        <f t="shared" si="3"/>
        <v>1.638730126351879E-2</v>
      </c>
    </row>
    <row r="96" spans="2:9" x14ac:dyDescent="0.3">
      <c r="B96" s="24">
        <v>45978</v>
      </c>
      <c r="C96" s="26">
        <v>2851.86</v>
      </c>
      <c r="D96" s="27">
        <f t="shared" si="2"/>
        <v>-8.7837411373628878E-3</v>
      </c>
      <c r="G96" s="24">
        <v>45978</v>
      </c>
      <c r="H96" s="26">
        <v>26068.15</v>
      </c>
      <c r="I96" s="27">
        <f t="shared" si="3"/>
        <v>6.1018793865701606E-3</v>
      </c>
    </row>
    <row r="97" spans="2:9" x14ac:dyDescent="0.3">
      <c r="B97" s="24">
        <v>45985</v>
      </c>
      <c r="C97" s="26">
        <v>2849.68</v>
      </c>
      <c r="D97" s="27">
        <f t="shared" si="2"/>
        <v>-7.6499817523381262E-4</v>
      </c>
      <c r="G97" s="24">
        <v>45985</v>
      </c>
      <c r="H97" s="26">
        <v>26202.95</v>
      </c>
      <c r="I97" s="27">
        <f t="shared" si="3"/>
        <v>5.1710612375638187E-3</v>
      </c>
    </row>
    <row r="98" spans="2:9" x14ac:dyDescent="0.3">
      <c r="B98" s="24">
        <v>45992</v>
      </c>
      <c r="C98" s="26">
        <v>2942.97</v>
      </c>
      <c r="D98" s="27">
        <f t="shared" si="2"/>
        <v>3.1699269785284923E-2</v>
      </c>
      <c r="G98" s="24">
        <v>45992</v>
      </c>
      <c r="H98" s="26">
        <v>26186.45</v>
      </c>
      <c r="I98" s="27">
        <f t="shared" si="3"/>
        <v>-6.2970009102028589E-4</v>
      </c>
    </row>
    <row r="99" spans="2:9" x14ac:dyDescent="0.3">
      <c r="B99" s="24">
        <v>45999</v>
      </c>
      <c r="C99" s="26">
        <v>2741.02</v>
      </c>
      <c r="D99" s="27">
        <f t="shared" si="2"/>
        <v>-7.367695237539304E-2</v>
      </c>
      <c r="G99" s="24">
        <v>45999</v>
      </c>
      <c r="H99" s="26">
        <v>26046.95</v>
      </c>
      <c r="I99" s="27">
        <f t="shared" si="3"/>
        <v>-5.327182569611383E-3</v>
      </c>
    </row>
    <row r="100" spans="2:9" x14ac:dyDescent="0.3">
      <c r="B100" s="24">
        <v>46006</v>
      </c>
      <c r="C100" s="26">
        <v>2775.82</v>
      </c>
      <c r="D100" s="27">
        <f t="shared" si="2"/>
        <v>1.2536835961986072E-2</v>
      </c>
      <c r="G100" s="24">
        <v>46006</v>
      </c>
      <c r="H100" s="26">
        <v>25966.400000000001</v>
      </c>
      <c r="I100" s="27">
        <f t="shared" si="3"/>
        <v>-3.0924925951022774E-3</v>
      </c>
    </row>
    <row r="101" spans="2:9" x14ac:dyDescent="0.3">
      <c r="B101" s="24">
        <v>46013</v>
      </c>
      <c r="C101" s="26">
        <v>2722.88</v>
      </c>
      <c r="D101" s="27">
        <f t="shared" si="2"/>
        <v>-1.9442648959924806E-2</v>
      </c>
      <c r="G101" s="24">
        <v>46013</v>
      </c>
      <c r="H101" s="26">
        <v>26042.3</v>
      </c>
      <c r="I101" s="27">
        <f t="shared" si="3"/>
        <v>2.9230081952060284E-3</v>
      </c>
    </row>
    <row r="102" spans="2:9" x14ac:dyDescent="0.3">
      <c r="B102" s="24">
        <v>46020</v>
      </c>
      <c r="C102" s="26">
        <v>2748.75</v>
      </c>
      <c r="D102" s="27">
        <f t="shared" si="2"/>
        <v>9.4115507048658092E-3</v>
      </c>
      <c r="G102" s="24">
        <v>46020</v>
      </c>
      <c r="H102" s="26">
        <v>26328.55</v>
      </c>
      <c r="I102" s="27">
        <f t="shared" si="3"/>
        <v>1.0991732681061198E-2</v>
      </c>
    </row>
    <row r="103" spans="2:9" x14ac:dyDescent="0.3">
      <c r="B103" s="24">
        <v>46027</v>
      </c>
      <c r="C103" s="26">
        <v>2801.2</v>
      </c>
      <c r="D103" s="27">
        <f t="shared" si="2"/>
        <v>1.872411823504206E-2</v>
      </c>
      <c r="G103" s="24">
        <v>46027</v>
      </c>
      <c r="H103" s="26">
        <v>25683.3</v>
      </c>
      <c r="I103" s="27">
        <f t="shared" si="3"/>
        <v>-2.450761625687704E-2</v>
      </c>
    </row>
    <row r="104" spans="2:9" x14ac:dyDescent="0.3">
      <c r="B104" s="24">
        <v>46034</v>
      </c>
      <c r="C104" s="26">
        <v>2733.19</v>
      </c>
      <c r="D104" s="27">
        <f t="shared" si="2"/>
        <v>-2.4883012157954538E-2</v>
      </c>
      <c r="G104" s="24">
        <v>46034</v>
      </c>
      <c r="H104" s="26">
        <v>25694.35</v>
      </c>
      <c r="I104" s="27">
        <f t="shared" si="3"/>
        <v>4.3024066222016925E-4</v>
      </c>
    </row>
    <row r="105" spans="2:9" x14ac:dyDescent="0.3">
      <c r="B105" s="24">
        <v>46041</v>
      </c>
      <c r="C105" s="26">
        <v>2680.44</v>
      </c>
      <c r="D105" s="27">
        <f t="shared" si="2"/>
        <v>-1.9679604840996255E-2</v>
      </c>
      <c r="G105" s="24">
        <v>46041</v>
      </c>
      <c r="H105" s="26">
        <v>25048.65</v>
      </c>
      <c r="I105" s="27">
        <f t="shared" si="3"/>
        <v>-2.5130038315816401E-2</v>
      </c>
    </row>
    <row r="106" spans="2:9" x14ac:dyDescent="0.3">
      <c r="B106" s="24">
        <v>46048</v>
      </c>
      <c r="C106" s="26">
        <v>2336.73</v>
      </c>
      <c r="D106" s="27">
        <f t="shared" si="2"/>
        <v>-0.14709016446059239</v>
      </c>
      <c r="G106" s="24">
        <v>46048</v>
      </c>
      <c r="H106" s="26">
        <v>24825.45</v>
      </c>
      <c r="I106" s="27">
        <f t="shared" si="3"/>
        <v>-8.9106598559204071E-3</v>
      </c>
    </row>
    <row r="107" spans="2:9" x14ac:dyDescent="0.3">
      <c r="B107" s="24">
        <v>46055</v>
      </c>
      <c r="C107" s="26">
        <v>2380.4499999999998</v>
      </c>
      <c r="D107" s="27">
        <f t="shared" si="2"/>
        <v>1.8366275284084858E-2</v>
      </c>
      <c r="G107" s="24">
        <v>46055</v>
      </c>
      <c r="H107" s="26">
        <v>25693.7</v>
      </c>
      <c r="I107" s="27">
        <f t="shared" si="3"/>
        <v>3.4974189793135671E-2</v>
      </c>
    </row>
    <row r="108" spans="2:9" x14ac:dyDescent="0.3">
      <c r="B108" s="24">
        <v>46062</v>
      </c>
      <c r="C108" s="26">
        <v>2346.0500000000002</v>
      </c>
      <c r="D108" s="27">
        <f t="shared" si="2"/>
        <v>-1.4662944097525473E-2</v>
      </c>
      <c r="G108" s="24">
        <v>46062</v>
      </c>
      <c r="H108" s="26">
        <v>25471.1</v>
      </c>
      <c r="I108" s="27">
        <f t="shared" si="3"/>
        <v>-8.6636023616685088E-3</v>
      </c>
    </row>
    <row r="109" spans="2:9" x14ac:dyDescent="0.3">
      <c r="B109" s="24">
        <v>46069</v>
      </c>
      <c r="C109" s="26">
        <v>2407.2199999999998</v>
      </c>
      <c r="D109" s="27">
        <f t="shared" si="2"/>
        <v>2.5411055075979603E-2</v>
      </c>
      <c r="G109" s="24">
        <v>46069</v>
      </c>
      <c r="H109" s="26">
        <v>25571.25</v>
      </c>
      <c r="I109" s="27">
        <f t="shared" si="3"/>
        <v>3.93190714181961E-3</v>
      </c>
    </row>
    <row r="110" spans="2:9" x14ac:dyDescent="0.3">
      <c r="B110" s="24">
        <v>46076</v>
      </c>
      <c r="C110" s="26">
        <v>2355.7600000000002</v>
      </c>
      <c r="D110" s="27">
        <f t="shared" si="2"/>
        <v>-2.1844330492070321E-2</v>
      </c>
      <c r="G110" s="24">
        <v>46076</v>
      </c>
      <c r="H110" s="26">
        <v>25178.65</v>
      </c>
      <c r="I110" s="27">
        <f t="shared" si="3"/>
        <v>-1.5353179840641289E-2</v>
      </c>
    </row>
    <row r="111" spans="2:9" x14ac:dyDescent="0.3">
      <c r="B111" s="24">
        <v>46083</v>
      </c>
      <c r="C111" s="26">
        <v>2259.89</v>
      </c>
      <c r="D111" s="27">
        <f t="shared" si="2"/>
        <v>-4.2422418790295256E-2</v>
      </c>
      <c r="G111" s="24">
        <v>46083</v>
      </c>
      <c r="H111" s="26">
        <v>24450.45</v>
      </c>
      <c r="I111" s="27">
        <f t="shared" si="3"/>
        <v>-2.8921328188763126E-2</v>
      </c>
    </row>
    <row r="112" spans="2:9" x14ac:dyDescent="0.3">
      <c r="B112" s="24">
        <v>46090</v>
      </c>
      <c r="C112" s="26">
        <v>2177.9</v>
      </c>
      <c r="D112" s="27">
        <f t="shared" si="2"/>
        <v>-3.7646356582028459E-2</v>
      </c>
      <c r="G112" s="24">
        <v>46090</v>
      </c>
      <c r="H112" s="26">
        <v>23151.1</v>
      </c>
      <c r="I112" s="27">
        <f t="shared" si="3"/>
        <v>-5.3142171207482977E-2</v>
      </c>
    </row>
    <row r="113" spans="2:9" x14ac:dyDescent="0.3">
      <c r="B113" s="24">
        <v>46097</v>
      </c>
      <c r="C113" s="26">
        <v>2176.52</v>
      </c>
      <c r="D113" s="27">
        <f t="shared" si="2"/>
        <v>-6.3403965964020962E-4</v>
      </c>
      <c r="G113" s="24">
        <v>46097</v>
      </c>
      <c r="H113" s="26">
        <v>23114.5</v>
      </c>
      <c r="I113" s="27">
        <f t="shared" si="3"/>
        <v>-1.5809184012854052E-3</v>
      </c>
    </row>
    <row r="114" spans="2:9" x14ac:dyDescent="0.3">
      <c r="B114" s="24">
        <v>46104</v>
      </c>
      <c r="C114" s="26">
        <v>2188.41</v>
      </c>
      <c r="D114" s="27">
        <f t="shared" si="2"/>
        <v>5.4331683733851851E-3</v>
      </c>
      <c r="G114" s="24">
        <v>46104</v>
      </c>
      <c r="H114" s="26">
        <v>22819.599999999999</v>
      </c>
      <c r="I114" s="27">
        <f t="shared" si="3"/>
        <v>-1.2758225356378093E-2</v>
      </c>
    </row>
    <row r="115" spans="2:9" x14ac:dyDescent="0.3">
      <c r="B115" s="24">
        <v>46111</v>
      </c>
      <c r="C115" s="26">
        <v>2146.58</v>
      </c>
      <c r="D115" s="27">
        <f t="shared" si="2"/>
        <v>-1.9486811579349443E-2</v>
      </c>
      <c r="G115" s="24">
        <v>46111</v>
      </c>
      <c r="H115" s="26">
        <v>22331.4</v>
      </c>
      <c r="I115" s="27">
        <f t="shared" si="3"/>
        <v>-2.1393889463443581E-2</v>
      </c>
    </row>
  </sheetData>
  <mergeCells count="3">
    <mergeCell ref="B8:D8"/>
    <mergeCell ref="G8:I8"/>
    <mergeCell ref="K8:M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486F-8270-4FE9-BABE-590D947CE029}">
  <dimension ref="B5:H33"/>
  <sheetViews>
    <sheetView showGridLines="0" workbookViewId="0">
      <selection activeCell="L9" sqref="L9"/>
    </sheetView>
  </sheetViews>
  <sheetFormatPr defaultRowHeight="14.4" x14ac:dyDescent="0.3"/>
  <cols>
    <col min="1" max="1" width="1.88671875" customWidth="1"/>
  </cols>
  <sheetData>
    <row r="5" spans="2:8" x14ac:dyDescent="0.3">
      <c r="B5" s="28" t="s">
        <v>96</v>
      </c>
      <c r="C5" s="28"/>
      <c r="D5" s="28"/>
      <c r="E5" s="28"/>
      <c r="F5" s="28"/>
      <c r="G5" s="28"/>
      <c r="H5" s="28"/>
    </row>
    <row r="7" spans="2:8" x14ac:dyDescent="0.3">
      <c r="B7" s="56" t="s">
        <v>94</v>
      </c>
      <c r="C7" s="30" t="s">
        <v>95</v>
      </c>
      <c r="F7" t="s">
        <v>97</v>
      </c>
      <c r="H7" s="33">
        <f>AVERAGE(C8:C33)</f>
        <v>0.1514923076923077</v>
      </c>
    </row>
    <row r="8" spans="2:8" x14ac:dyDescent="0.3">
      <c r="B8" s="25">
        <v>2000</v>
      </c>
      <c r="C8" s="27">
        <v>-0.14649999999999999</v>
      </c>
      <c r="F8" t="s">
        <v>98</v>
      </c>
      <c r="H8" s="40">
        <v>1.2999999999999999E-2</v>
      </c>
    </row>
    <row r="9" spans="2:8" x14ac:dyDescent="0.3">
      <c r="B9" s="25">
        <v>2001</v>
      </c>
      <c r="C9" s="27">
        <v>-0.1618</v>
      </c>
      <c r="F9" s="57" t="s">
        <v>99</v>
      </c>
      <c r="G9" s="38"/>
      <c r="H9" s="58">
        <f>SUM(H7:H8)</f>
        <v>0.16449230769230772</v>
      </c>
    </row>
    <row r="10" spans="2:8" x14ac:dyDescent="0.3">
      <c r="B10" s="25">
        <v>2002</v>
      </c>
      <c r="C10" s="27">
        <v>3.2500000000000001E-2</v>
      </c>
    </row>
    <row r="11" spans="2:8" x14ac:dyDescent="0.3">
      <c r="B11" s="25">
        <v>2003</v>
      </c>
      <c r="C11" s="27">
        <v>0.71900000000000008</v>
      </c>
    </row>
    <row r="12" spans="2:8" x14ac:dyDescent="0.3">
      <c r="B12" s="25">
        <v>2004</v>
      </c>
      <c r="C12" s="27">
        <v>0.10679999999999999</v>
      </c>
    </row>
    <row r="13" spans="2:8" x14ac:dyDescent="0.3">
      <c r="B13" s="25">
        <v>2005</v>
      </c>
      <c r="C13" s="27">
        <v>0.36340000000000006</v>
      </c>
    </row>
    <row r="14" spans="2:8" x14ac:dyDescent="0.3">
      <c r="B14" s="25">
        <v>2006</v>
      </c>
      <c r="C14" s="27">
        <v>0.39829999999999999</v>
      </c>
    </row>
    <row r="15" spans="2:8" x14ac:dyDescent="0.3">
      <c r="B15" s="25">
        <v>2007</v>
      </c>
      <c r="C15" s="27">
        <v>0.54770000000000008</v>
      </c>
    </row>
    <row r="16" spans="2:8" x14ac:dyDescent="0.3">
      <c r="B16" s="25">
        <v>2008</v>
      </c>
      <c r="C16" s="27">
        <v>-0.51790000000000003</v>
      </c>
    </row>
    <row r="17" spans="2:3" x14ac:dyDescent="0.3">
      <c r="B17" s="25">
        <v>2009</v>
      </c>
      <c r="C17" s="27">
        <v>0.75760000000000005</v>
      </c>
    </row>
    <row r="18" spans="2:3" x14ac:dyDescent="0.3">
      <c r="B18" s="25">
        <v>2010</v>
      </c>
      <c r="C18" s="27">
        <v>0.17949999999999999</v>
      </c>
    </row>
    <row r="19" spans="2:3" x14ac:dyDescent="0.3">
      <c r="B19" s="25">
        <v>2011</v>
      </c>
      <c r="C19" s="27">
        <v>-0.2462</v>
      </c>
    </row>
    <row r="20" spans="2:3" x14ac:dyDescent="0.3">
      <c r="B20" s="25">
        <v>2012</v>
      </c>
      <c r="C20" s="27">
        <v>0.27699999999999997</v>
      </c>
    </row>
    <row r="21" spans="2:3" x14ac:dyDescent="0.3">
      <c r="B21" s="25">
        <v>2013</v>
      </c>
      <c r="C21" s="27">
        <v>6.7599999999999993E-2</v>
      </c>
    </row>
    <row r="22" spans="2:3" x14ac:dyDescent="0.3">
      <c r="B22" s="25">
        <v>2014</v>
      </c>
      <c r="C22" s="27">
        <v>0.31390000000000001</v>
      </c>
    </row>
    <row r="23" spans="2:3" x14ac:dyDescent="0.3">
      <c r="B23" s="25">
        <v>2015</v>
      </c>
      <c r="C23" s="27">
        <v>-4.0599999999999997E-2</v>
      </c>
    </row>
    <row r="24" spans="2:3" x14ac:dyDescent="0.3">
      <c r="B24" s="25">
        <v>2016</v>
      </c>
      <c r="C24" s="27">
        <v>3.0099999999999998E-2</v>
      </c>
    </row>
    <row r="25" spans="2:3" x14ac:dyDescent="0.3">
      <c r="B25" s="25">
        <v>2017</v>
      </c>
      <c r="C25" s="27">
        <v>0.28649999999999998</v>
      </c>
    </row>
    <row r="26" spans="2:3" x14ac:dyDescent="0.3">
      <c r="B26" s="25">
        <v>2018</v>
      </c>
      <c r="C26" s="27">
        <v>3.15E-2</v>
      </c>
    </row>
    <row r="27" spans="2:3" x14ac:dyDescent="0.3">
      <c r="B27" s="25">
        <v>2019</v>
      </c>
      <c r="C27" s="27">
        <v>0.1202</v>
      </c>
    </row>
    <row r="28" spans="2:3" x14ac:dyDescent="0.3">
      <c r="B28" s="25">
        <v>2020</v>
      </c>
      <c r="C28" s="27">
        <v>0.14899999999999999</v>
      </c>
    </row>
    <row r="29" spans="2:3" x14ac:dyDescent="0.3">
      <c r="B29" s="25">
        <v>2021</v>
      </c>
      <c r="C29" s="27">
        <v>0.2412</v>
      </c>
    </row>
    <row r="30" spans="2:3" x14ac:dyDescent="0.3">
      <c r="B30" s="25">
        <v>2022</v>
      </c>
      <c r="C30" s="27">
        <v>4.3200000000000002E-2</v>
      </c>
    </row>
    <row r="31" spans="2:3" x14ac:dyDescent="0.3">
      <c r="B31" s="25">
        <v>2023</v>
      </c>
      <c r="C31" s="27">
        <v>0.19420000000000001</v>
      </c>
    </row>
    <row r="32" spans="2:3" x14ac:dyDescent="0.3">
      <c r="B32" s="25">
        <v>2024</v>
      </c>
      <c r="C32" s="27">
        <v>8.7499999999999994E-2</v>
      </c>
    </row>
    <row r="33" spans="2:3" x14ac:dyDescent="0.3">
      <c r="B33" s="25">
        <v>2025</v>
      </c>
      <c r="C33" s="27">
        <v>0.1051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3512-1B8B-4CB2-BF5B-37C7D217B09A}">
  <dimension ref="A5:K68"/>
  <sheetViews>
    <sheetView showGridLines="0" topLeftCell="A37" workbookViewId="0">
      <selection activeCell="K57" sqref="K57"/>
    </sheetView>
  </sheetViews>
  <sheetFormatPr defaultRowHeight="14.4" x14ac:dyDescent="0.3"/>
  <cols>
    <col min="1" max="1" width="1.88671875" customWidth="1"/>
    <col min="7" max="7" width="9.21875" bestFit="1" customWidth="1"/>
    <col min="8" max="8" width="10" customWidth="1"/>
    <col min="9" max="11" width="9.21875" bestFit="1" customWidth="1"/>
  </cols>
  <sheetData>
    <row r="5" spans="2:11" x14ac:dyDescent="0.3">
      <c r="B5" s="28" t="s">
        <v>135</v>
      </c>
      <c r="C5" s="28"/>
      <c r="D5" s="28"/>
      <c r="E5" s="28"/>
      <c r="F5" s="28"/>
      <c r="G5" s="60">
        <v>44621</v>
      </c>
      <c r="H5" s="60">
        <v>44986</v>
      </c>
      <c r="I5" s="60">
        <v>45352</v>
      </c>
      <c r="J5" s="60">
        <v>45717</v>
      </c>
      <c r="K5" s="60">
        <v>46082</v>
      </c>
    </row>
    <row r="6" spans="2:11" x14ac:dyDescent="0.3">
      <c r="B6" s="69" t="s">
        <v>136</v>
      </c>
      <c r="C6" s="67"/>
      <c r="D6" s="67"/>
      <c r="E6" s="67"/>
      <c r="F6" s="67"/>
      <c r="G6" s="68"/>
      <c r="H6" s="68"/>
      <c r="I6" s="68"/>
      <c r="J6" s="68"/>
      <c r="K6" s="68"/>
    </row>
    <row r="7" spans="2:11" x14ac:dyDescent="0.3">
      <c r="B7" s="63" t="s">
        <v>123</v>
      </c>
      <c r="C7" s="63"/>
      <c r="D7" s="63"/>
      <c r="E7" s="63"/>
      <c r="F7" s="63"/>
      <c r="G7" s="77">
        <v>6153</v>
      </c>
      <c r="H7" s="77">
        <v>6211</v>
      </c>
      <c r="I7" s="77">
        <v>5923</v>
      </c>
      <c r="J7" s="77">
        <v>6719</v>
      </c>
      <c r="K7" s="77">
        <v>5744</v>
      </c>
    </row>
    <row r="8" spans="2:11" x14ac:dyDescent="0.3">
      <c r="B8" s="63" t="s">
        <v>130</v>
      </c>
      <c r="C8" s="63"/>
      <c r="D8" s="63"/>
      <c r="E8" s="63"/>
      <c r="F8" s="63"/>
      <c r="G8" s="77">
        <v>3871</v>
      </c>
      <c r="H8" s="77">
        <v>4637</v>
      </c>
      <c r="I8" s="77">
        <v>4889</v>
      </c>
      <c r="J8" s="77">
        <v>4314</v>
      </c>
      <c r="K8" s="77">
        <v>4462</v>
      </c>
    </row>
    <row r="9" spans="2:11" x14ac:dyDescent="0.3">
      <c r="B9" s="63" t="s">
        <v>125</v>
      </c>
      <c r="C9" s="63"/>
      <c r="D9" s="63"/>
      <c r="E9" s="63"/>
      <c r="F9" s="63"/>
      <c r="G9" s="77">
        <v>8</v>
      </c>
      <c r="H9" s="77">
        <v>12</v>
      </c>
      <c r="I9" s="77">
        <v>17</v>
      </c>
      <c r="J9" s="77">
        <v>22</v>
      </c>
      <c r="K9" s="77">
        <v>27</v>
      </c>
    </row>
    <row r="10" spans="2:11" x14ac:dyDescent="0.3">
      <c r="B10" s="63" t="s">
        <v>126</v>
      </c>
      <c r="C10" s="63"/>
      <c r="D10" s="63"/>
      <c r="E10" s="63"/>
      <c r="F10" s="63"/>
      <c r="G10" s="77">
        <v>2869</v>
      </c>
      <c r="H10" s="77">
        <v>3024</v>
      </c>
      <c r="I10" s="77">
        <v>3555</v>
      </c>
      <c r="J10" s="77">
        <v>3319</v>
      </c>
      <c r="K10" s="77">
        <v>4662</v>
      </c>
    </row>
    <row r="11" spans="2:11" ht="15" thickBot="1" x14ac:dyDescent="0.35">
      <c r="B11" s="65" t="s">
        <v>137</v>
      </c>
      <c r="C11" s="70"/>
      <c r="D11" s="70"/>
      <c r="E11" s="70"/>
      <c r="F11" s="70"/>
      <c r="G11" s="78">
        <f>SUM(G7:G10)</f>
        <v>12901</v>
      </c>
      <c r="H11" s="78">
        <f t="shared" ref="H11:K11" si="0">SUM(H7:H10)</f>
        <v>13884</v>
      </c>
      <c r="I11" s="78">
        <f t="shared" si="0"/>
        <v>14384</v>
      </c>
      <c r="J11" s="78">
        <f t="shared" si="0"/>
        <v>14374</v>
      </c>
      <c r="K11" s="78">
        <f t="shared" si="0"/>
        <v>14895</v>
      </c>
    </row>
    <row r="12" spans="2:11" ht="15" thickTop="1" x14ac:dyDescent="0.3">
      <c r="G12" s="79"/>
      <c r="H12" s="79"/>
      <c r="I12" s="79"/>
      <c r="J12" s="79"/>
      <c r="K12" s="79"/>
    </row>
    <row r="13" spans="2:11" x14ac:dyDescent="0.3">
      <c r="G13" s="79"/>
      <c r="H13" s="79"/>
      <c r="I13" s="79"/>
      <c r="J13" s="79"/>
      <c r="K13" s="79"/>
    </row>
    <row r="14" spans="2:11" x14ac:dyDescent="0.3">
      <c r="B14" s="69" t="s">
        <v>138</v>
      </c>
      <c r="G14" s="79"/>
      <c r="H14" s="79"/>
      <c r="I14" s="79"/>
      <c r="J14" s="79"/>
      <c r="K14" s="79"/>
    </row>
    <row r="15" spans="2:11" x14ac:dyDescent="0.3">
      <c r="B15" s="63" t="s">
        <v>107</v>
      </c>
      <c r="C15" s="63"/>
      <c r="D15" s="63"/>
      <c r="E15" s="63"/>
      <c r="F15" s="63"/>
      <c r="G15" s="77">
        <v>4164</v>
      </c>
      <c r="H15" s="77">
        <v>3635</v>
      </c>
      <c r="I15" s="77">
        <v>3831</v>
      </c>
      <c r="J15" s="77">
        <v>3848</v>
      </c>
      <c r="K15" s="77">
        <v>3863</v>
      </c>
    </row>
    <row r="16" spans="2:11" x14ac:dyDescent="0.3">
      <c r="B16" s="63" t="s">
        <v>108</v>
      </c>
      <c r="C16" s="63"/>
      <c r="D16" s="63"/>
      <c r="E16" s="63"/>
      <c r="F16" s="63"/>
      <c r="G16" s="77">
        <v>76</v>
      </c>
      <c r="H16" s="77">
        <v>108</v>
      </c>
      <c r="I16" s="77">
        <v>154</v>
      </c>
      <c r="J16" s="77">
        <v>174</v>
      </c>
      <c r="K16" s="77">
        <v>107</v>
      </c>
    </row>
    <row r="17" spans="1:11" x14ac:dyDescent="0.3">
      <c r="B17" s="63" t="s">
        <v>109</v>
      </c>
      <c r="C17" s="63"/>
      <c r="D17" s="63"/>
      <c r="E17" s="63"/>
      <c r="F17" s="63"/>
      <c r="G17" s="77">
        <v>2932</v>
      </c>
      <c r="H17" s="77">
        <v>3657</v>
      </c>
      <c r="I17" s="77">
        <v>4017</v>
      </c>
      <c r="J17" s="77">
        <v>3984</v>
      </c>
      <c r="K17" s="77">
        <v>4604</v>
      </c>
    </row>
    <row r="18" spans="1:11" ht="15" thickBot="1" x14ac:dyDescent="0.35">
      <c r="B18" s="65" t="s">
        <v>139</v>
      </c>
      <c r="C18" s="70"/>
      <c r="D18" s="70"/>
      <c r="E18" s="70"/>
      <c r="F18" s="70"/>
      <c r="G18" s="78">
        <f>SUM(G15:G17)</f>
        <v>7172</v>
      </c>
      <c r="H18" s="78">
        <f t="shared" ref="H18:K18" si="1">SUM(H15:H17)</f>
        <v>7400</v>
      </c>
      <c r="I18" s="78">
        <f t="shared" si="1"/>
        <v>8002</v>
      </c>
      <c r="J18" s="78">
        <f t="shared" si="1"/>
        <v>8006</v>
      </c>
      <c r="K18" s="78">
        <f t="shared" si="1"/>
        <v>8574</v>
      </c>
    </row>
    <row r="19" spans="1:11" ht="15" thickTop="1" x14ac:dyDescent="0.3">
      <c r="G19" s="79"/>
      <c r="H19" s="79"/>
      <c r="I19" s="79"/>
      <c r="J19" s="79"/>
      <c r="K19" s="79"/>
    </row>
    <row r="20" spans="1:11" ht="15" thickBot="1" x14ac:dyDescent="0.35">
      <c r="A20" s="21" t="s">
        <v>140</v>
      </c>
      <c r="B20" s="65" t="s">
        <v>141</v>
      </c>
      <c r="C20" s="70"/>
      <c r="D20" s="70"/>
      <c r="E20" s="70"/>
      <c r="F20" s="70"/>
      <c r="G20" s="80">
        <f>G11-G18</f>
        <v>5729</v>
      </c>
      <c r="H20" s="80">
        <f>H11-H18</f>
        <v>6484</v>
      </c>
      <c r="I20" s="80">
        <f>I11-I18</f>
        <v>6382</v>
      </c>
      <c r="J20" s="80">
        <f t="shared" ref="J20:K20" si="2">J11-J18</f>
        <v>6368</v>
      </c>
      <c r="K20" s="80">
        <f t="shared" si="2"/>
        <v>6321</v>
      </c>
    </row>
    <row r="21" spans="1:11" ht="15" thickTop="1" x14ac:dyDescent="0.3">
      <c r="G21" s="79"/>
      <c r="H21" s="79"/>
      <c r="I21" s="79"/>
      <c r="J21" s="79"/>
      <c r="K21" s="79"/>
    </row>
    <row r="22" spans="1:11" x14ac:dyDescent="0.3">
      <c r="G22" s="79"/>
      <c r="H22" s="79"/>
      <c r="I22" s="79"/>
      <c r="J22" s="79"/>
      <c r="K22" s="79"/>
    </row>
    <row r="23" spans="1:11" x14ac:dyDescent="0.3">
      <c r="B23" s="21" t="s">
        <v>142</v>
      </c>
      <c r="G23" s="79"/>
      <c r="H23" s="79"/>
      <c r="I23" s="79"/>
      <c r="J23" s="79"/>
      <c r="K23" s="79"/>
    </row>
    <row r="24" spans="1:11" x14ac:dyDescent="0.3">
      <c r="B24" s="63" t="s">
        <v>111</v>
      </c>
      <c r="C24" s="63"/>
      <c r="D24" s="63"/>
      <c r="E24" s="63"/>
      <c r="F24" s="63"/>
      <c r="G24" s="77">
        <v>644</v>
      </c>
      <c r="H24" s="77">
        <v>804</v>
      </c>
      <c r="I24" s="77">
        <v>1126</v>
      </c>
      <c r="J24" s="77">
        <v>1035</v>
      </c>
      <c r="K24" s="77">
        <v>1204</v>
      </c>
    </row>
    <row r="25" spans="1:11" x14ac:dyDescent="0.3">
      <c r="B25" s="63" t="s">
        <v>112</v>
      </c>
      <c r="C25" s="63"/>
      <c r="D25" s="63"/>
      <c r="E25" s="63"/>
      <c r="F25" s="63"/>
      <c r="G25" s="77">
        <v>2325</v>
      </c>
      <c r="H25" s="77">
        <v>2883</v>
      </c>
      <c r="I25" s="77">
        <v>3390</v>
      </c>
      <c r="J25" s="77">
        <v>3771</v>
      </c>
      <c r="K25" s="77">
        <v>4124</v>
      </c>
    </row>
    <row r="26" spans="1:11" x14ac:dyDescent="0.3">
      <c r="B26" s="63" t="s">
        <v>113</v>
      </c>
      <c r="C26" s="63"/>
      <c r="D26" s="63"/>
      <c r="E26" s="63"/>
      <c r="F26" s="63"/>
      <c r="G26" s="77">
        <v>4531</v>
      </c>
      <c r="H26" s="77">
        <v>4825</v>
      </c>
      <c r="I26" s="77">
        <v>5422</v>
      </c>
      <c r="J26" s="77">
        <v>7576</v>
      </c>
      <c r="K26" s="77">
        <v>8210</v>
      </c>
    </row>
    <row r="27" spans="1:11" x14ac:dyDescent="0.3">
      <c r="B27" s="63" t="s">
        <v>114</v>
      </c>
      <c r="C27" s="63"/>
      <c r="D27" s="63"/>
      <c r="E27" s="63"/>
      <c r="F27" s="63"/>
      <c r="G27" s="77">
        <v>253</v>
      </c>
      <c r="H27" s="77">
        <v>270</v>
      </c>
      <c r="I27" s="77">
        <v>298</v>
      </c>
      <c r="J27" s="77">
        <v>325</v>
      </c>
      <c r="K27" s="77">
        <v>351</v>
      </c>
    </row>
    <row r="28" spans="1:11" x14ac:dyDescent="0.3">
      <c r="B28" s="63" t="s">
        <v>115</v>
      </c>
      <c r="C28" s="63"/>
      <c r="D28" s="63"/>
      <c r="E28" s="63"/>
      <c r="F28" s="63"/>
      <c r="G28" s="77">
        <v>113</v>
      </c>
      <c r="H28" s="77">
        <v>146</v>
      </c>
      <c r="I28" s="77">
        <v>175</v>
      </c>
      <c r="J28" s="77">
        <v>203</v>
      </c>
      <c r="K28" s="77">
        <v>216</v>
      </c>
    </row>
    <row r="29" spans="1:11" x14ac:dyDescent="0.3">
      <c r="B29" s="63" t="s">
        <v>116</v>
      </c>
      <c r="C29" s="63"/>
      <c r="D29" s="63"/>
      <c r="E29" s="63"/>
      <c r="F29" s="63"/>
      <c r="G29" s="77">
        <v>32</v>
      </c>
      <c r="H29" s="77">
        <v>36</v>
      </c>
      <c r="I29" s="77">
        <v>40</v>
      </c>
      <c r="J29" s="77">
        <v>34</v>
      </c>
      <c r="K29" s="77">
        <v>45</v>
      </c>
    </row>
    <row r="30" spans="1:11" x14ac:dyDescent="0.3">
      <c r="B30" s="63" t="s">
        <v>117</v>
      </c>
      <c r="C30" s="63"/>
      <c r="D30" s="63"/>
      <c r="E30" s="63"/>
      <c r="F30" s="63"/>
      <c r="G30" s="77">
        <v>345</v>
      </c>
      <c r="H30" s="77">
        <v>422</v>
      </c>
      <c r="I30" s="77">
        <v>850</v>
      </c>
      <c r="J30" s="77">
        <v>827</v>
      </c>
      <c r="K30" s="77">
        <v>833</v>
      </c>
    </row>
    <row r="31" spans="1:11" x14ac:dyDescent="0.3">
      <c r="B31" s="63" t="s">
        <v>118</v>
      </c>
      <c r="C31" s="63"/>
      <c r="D31" s="63"/>
      <c r="E31" s="63"/>
      <c r="F31" s="63"/>
      <c r="G31" s="77">
        <v>294</v>
      </c>
      <c r="H31" s="77">
        <v>289</v>
      </c>
      <c r="I31" s="77">
        <v>321</v>
      </c>
      <c r="J31" s="77">
        <v>328</v>
      </c>
      <c r="K31" s="77">
        <v>335</v>
      </c>
    </row>
    <row r="32" spans="1:11" x14ac:dyDescent="0.3">
      <c r="B32" s="8" t="s">
        <v>119</v>
      </c>
      <c r="C32" s="17"/>
      <c r="D32" s="17"/>
      <c r="E32" s="17"/>
      <c r="F32" s="17"/>
      <c r="G32" s="81">
        <f>SUM(G24:G31)</f>
        <v>8537</v>
      </c>
      <c r="H32" s="81">
        <f t="shared" ref="H32:K32" si="3">SUM(H24:H31)</f>
        <v>9675</v>
      </c>
      <c r="I32" s="81">
        <f t="shared" si="3"/>
        <v>11622</v>
      </c>
      <c r="J32" s="81">
        <f t="shared" si="3"/>
        <v>14099</v>
      </c>
      <c r="K32" s="81">
        <f t="shared" si="3"/>
        <v>15318</v>
      </c>
    </row>
    <row r="33" spans="1:11" x14ac:dyDescent="0.3">
      <c r="B33" s="15" t="s">
        <v>120</v>
      </c>
      <c r="C33" s="15"/>
      <c r="D33" s="15"/>
      <c r="E33" s="15"/>
      <c r="F33" s="15"/>
      <c r="G33" s="82">
        <v>-3019</v>
      </c>
      <c r="H33" s="82">
        <v>-3905</v>
      </c>
      <c r="I33" s="82">
        <v>-4475</v>
      </c>
      <c r="J33" s="82">
        <v>-4879</v>
      </c>
      <c r="K33" s="82">
        <v>-5676</v>
      </c>
    </row>
    <row r="34" spans="1:11" ht="15" thickBot="1" x14ac:dyDescent="0.35">
      <c r="B34" s="65" t="s">
        <v>143</v>
      </c>
      <c r="C34" s="70"/>
      <c r="D34" s="70"/>
      <c r="E34" s="70"/>
      <c r="F34" s="70"/>
      <c r="G34" s="80">
        <f>SUM(G32:G33)</f>
        <v>5518</v>
      </c>
      <c r="H34" s="80">
        <f t="shared" ref="H34:K34" si="4">SUM(H32:H33)</f>
        <v>5770</v>
      </c>
      <c r="I34" s="80">
        <f t="shared" si="4"/>
        <v>7147</v>
      </c>
      <c r="J34" s="80">
        <f t="shared" si="4"/>
        <v>9220</v>
      </c>
      <c r="K34" s="80">
        <f t="shared" si="4"/>
        <v>9642</v>
      </c>
    </row>
    <row r="35" spans="1:11" ht="15" thickTop="1" x14ac:dyDescent="0.3">
      <c r="G35" s="79"/>
      <c r="H35" s="79"/>
      <c r="I35" s="79"/>
      <c r="J35" s="79"/>
      <c r="K35" s="79"/>
    </row>
    <row r="36" spans="1:11" x14ac:dyDescent="0.3">
      <c r="G36" s="79"/>
      <c r="H36" s="79"/>
      <c r="I36" s="79"/>
      <c r="J36" s="79"/>
      <c r="K36" s="79"/>
    </row>
    <row r="37" spans="1:11" x14ac:dyDescent="0.3">
      <c r="A37" s="21" t="s">
        <v>140</v>
      </c>
      <c r="B37" s="21" t="s">
        <v>144</v>
      </c>
      <c r="G37" s="79">
        <f>G20+G34</f>
        <v>11247</v>
      </c>
      <c r="H37" s="79">
        <f t="shared" ref="H37:K37" si="5">H20+H34</f>
        <v>12254</v>
      </c>
      <c r="I37" s="79">
        <f t="shared" si="5"/>
        <v>13529</v>
      </c>
      <c r="J37" s="79">
        <f t="shared" si="5"/>
        <v>15588</v>
      </c>
      <c r="K37" s="79">
        <f t="shared" si="5"/>
        <v>15963</v>
      </c>
    </row>
    <row r="38" spans="1:11" x14ac:dyDescent="0.3">
      <c r="B38" s="21" t="s">
        <v>154</v>
      </c>
      <c r="G38" s="76">
        <f>'Data Sheet'!H33</f>
        <v>4228.8900000000003</v>
      </c>
      <c r="H38" s="76">
        <f>'Data Sheet'!I33</f>
        <v>5744.4</v>
      </c>
      <c r="I38" s="76">
        <f>'Data Sheet'!J33</f>
        <v>7455.48</v>
      </c>
      <c r="J38" s="76">
        <f>'Data Sheet'!K33</f>
        <v>5287.6100000000006</v>
      </c>
      <c r="K38" s="76">
        <f>'Data Sheet'!L33</f>
        <v>6129.51</v>
      </c>
    </row>
    <row r="40" spans="1:11" ht="15" thickBot="1" x14ac:dyDescent="0.35">
      <c r="A40" s="21" t="s">
        <v>140</v>
      </c>
      <c r="B40" s="83" t="s">
        <v>155</v>
      </c>
      <c r="C40" s="84"/>
      <c r="D40" s="84"/>
      <c r="E40" s="84"/>
      <c r="F40" s="84"/>
      <c r="G40" s="85">
        <f>G38/G37</f>
        <v>0.37600160042678049</v>
      </c>
      <c r="H40" s="85">
        <f t="shared" ref="H40:K40" si="6">H38/H37</f>
        <v>0.46877754202709315</v>
      </c>
      <c r="I40" s="85">
        <f t="shared" si="6"/>
        <v>0.55107398920836714</v>
      </c>
      <c r="J40" s="85">
        <f t="shared" si="6"/>
        <v>0.33921028996664104</v>
      </c>
      <c r="K40" s="85">
        <f t="shared" si="6"/>
        <v>0.3839823341477166</v>
      </c>
    </row>
    <row r="41" spans="1:11" ht="15" thickTop="1" x14ac:dyDescent="0.3"/>
    <row r="44" spans="1:11" x14ac:dyDescent="0.3">
      <c r="B44" s="28" t="s">
        <v>156</v>
      </c>
      <c r="C44" s="28"/>
      <c r="D44" s="28"/>
      <c r="E44" s="28"/>
      <c r="F44" s="28"/>
      <c r="G44" s="60">
        <v>44621</v>
      </c>
      <c r="H44" s="60">
        <v>44986</v>
      </c>
      <c r="I44" s="60">
        <v>45352</v>
      </c>
      <c r="J44" s="60">
        <v>45717</v>
      </c>
      <c r="K44" s="60">
        <v>46082</v>
      </c>
    </row>
    <row r="46" spans="1:11" x14ac:dyDescent="0.3">
      <c r="B46" s="63" t="s">
        <v>157</v>
      </c>
      <c r="C46" s="63"/>
      <c r="D46" s="63"/>
      <c r="E46" s="63"/>
      <c r="F46" s="63"/>
      <c r="G46" s="64">
        <f>-SUM('Raw FS'!J56:J57)</f>
        <v>511</v>
      </c>
      <c r="H46" s="64">
        <f>-SUM('Raw FS'!K56:K57)</f>
        <v>1420</v>
      </c>
      <c r="I46" s="64">
        <f>-SUM('Raw FS'!L56:L57)</f>
        <v>2491</v>
      </c>
      <c r="J46" s="64">
        <f>-SUM('Raw FS'!M56:M57)</f>
        <v>1820</v>
      </c>
      <c r="K46" s="64">
        <f>-SUM('Raw FS'!N56:N57)</f>
        <v>1484</v>
      </c>
    </row>
    <row r="47" spans="1:11" x14ac:dyDescent="0.3">
      <c r="B47" s="63" t="s">
        <v>158</v>
      </c>
      <c r="C47" s="63"/>
      <c r="D47" s="63"/>
      <c r="E47" s="63"/>
      <c r="F47" s="63"/>
      <c r="G47" s="63"/>
      <c r="H47" s="77">
        <f>H20-G20</f>
        <v>755</v>
      </c>
      <c r="I47" s="77">
        <f t="shared" ref="I47:J47" si="7">I20-H20</f>
        <v>-102</v>
      </c>
      <c r="J47" s="77">
        <f t="shared" si="7"/>
        <v>-14</v>
      </c>
      <c r="K47" s="77">
        <f>K20-J20</f>
        <v>-47</v>
      </c>
    </row>
    <row r="48" spans="1:11" x14ac:dyDescent="0.3">
      <c r="B48" s="63"/>
      <c r="C48" s="63"/>
      <c r="D48" s="63"/>
      <c r="E48" s="63"/>
      <c r="F48" s="63"/>
      <c r="G48" s="63"/>
      <c r="H48" s="63"/>
      <c r="I48" s="63"/>
      <c r="J48" s="63"/>
      <c r="K48" s="63"/>
    </row>
    <row r="49" spans="1:11" x14ac:dyDescent="0.3">
      <c r="B49" s="63" t="s">
        <v>154</v>
      </c>
      <c r="C49" s="63"/>
      <c r="D49" s="63"/>
      <c r="E49" s="63"/>
      <c r="F49" s="63"/>
      <c r="G49" s="86">
        <f>G38</f>
        <v>4228.8900000000003</v>
      </c>
      <c r="H49" s="86">
        <f t="shared" ref="H49:K49" si="8">H38</f>
        <v>5744.4</v>
      </c>
      <c r="I49" s="86">
        <f t="shared" si="8"/>
        <v>7455.48</v>
      </c>
      <c r="J49" s="86">
        <f t="shared" si="8"/>
        <v>5287.6100000000006</v>
      </c>
      <c r="K49" s="86">
        <f t="shared" si="8"/>
        <v>6129.51</v>
      </c>
    </row>
    <row r="50" spans="1:11" x14ac:dyDescent="0.3">
      <c r="B50" s="63" t="s">
        <v>159</v>
      </c>
      <c r="C50" s="63"/>
      <c r="D50" s="63"/>
      <c r="E50" s="63"/>
      <c r="F50" s="63"/>
      <c r="G50" s="87">
        <v>0.3</v>
      </c>
      <c r="H50" s="87">
        <v>0.3</v>
      </c>
      <c r="I50" s="87">
        <v>0.3</v>
      </c>
      <c r="J50" s="87">
        <v>0.3</v>
      </c>
      <c r="K50" s="87">
        <v>0.3</v>
      </c>
    </row>
    <row r="51" spans="1:11" x14ac:dyDescent="0.3">
      <c r="B51" s="63" t="s">
        <v>160</v>
      </c>
      <c r="C51" s="63"/>
      <c r="D51" s="63"/>
      <c r="E51" s="63"/>
      <c r="F51" s="63"/>
      <c r="G51" s="86">
        <f>G49*(1-G50)</f>
        <v>2960.223</v>
      </c>
      <c r="H51" s="86">
        <f t="shared" ref="H51:K51" si="9">H49*(1-H50)</f>
        <v>4021.0799999999995</v>
      </c>
      <c r="I51" s="86">
        <f t="shared" si="9"/>
        <v>5218.8359999999993</v>
      </c>
      <c r="J51" s="86">
        <f t="shared" si="9"/>
        <v>3701.3270000000002</v>
      </c>
      <c r="K51" s="86">
        <f t="shared" si="9"/>
        <v>4290.6570000000002</v>
      </c>
    </row>
    <row r="52" spans="1:11" x14ac:dyDescent="0.3">
      <c r="B52" s="63"/>
      <c r="C52" s="63"/>
      <c r="D52" s="63"/>
      <c r="E52" s="63"/>
      <c r="F52" s="63"/>
      <c r="G52" s="63"/>
      <c r="H52" s="63"/>
      <c r="I52" s="63"/>
      <c r="J52" s="63"/>
      <c r="K52" s="63"/>
    </row>
    <row r="53" spans="1:11" x14ac:dyDescent="0.3">
      <c r="B53" s="63" t="s">
        <v>161</v>
      </c>
      <c r="C53" s="63"/>
      <c r="D53" s="63"/>
      <c r="E53" s="63"/>
      <c r="F53" s="63"/>
      <c r="G53" s="63"/>
      <c r="H53" s="64">
        <f>SUM(H46:H47)</f>
        <v>2175</v>
      </c>
      <c r="I53" s="64">
        <f t="shared" ref="I53:K53" si="10">SUM(I46:I47)</f>
        <v>2389</v>
      </c>
      <c r="J53" s="64">
        <f t="shared" si="10"/>
        <v>1806</v>
      </c>
      <c r="K53" s="64">
        <f t="shared" si="10"/>
        <v>1437</v>
      </c>
    </row>
    <row r="54" spans="1:11" ht="15" thickBot="1" x14ac:dyDescent="0.35">
      <c r="A54" s="21" t="s">
        <v>140</v>
      </c>
      <c r="B54" s="89" t="s">
        <v>162</v>
      </c>
      <c r="C54" s="89"/>
      <c r="D54" s="89"/>
      <c r="E54" s="89"/>
      <c r="F54" s="89"/>
      <c r="G54" s="89"/>
      <c r="H54" s="90">
        <f>H53/H51</f>
        <v>0.54089945984660848</v>
      </c>
      <c r="I54" s="90">
        <f t="shared" ref="I54:K54" si="11">I53/I51</f>
        <v>0.45776491156265503</v>
      </c>
      <c r="J54" s="90">
        <f t="shared" si="11"/>
        <v>0.48793311155701724</v>
      </c>
      <c r="K54" s="90">
        <f t="shared" si="11"/>
        <v>0.33491374397906892</v>
      </c>
    </row>
    <row r="56" spans="1:11" x14ac:dyDescent="0.3">
      <c r="I56" s="57" t="s">
        <v>193</v>
      </c>
      <c r="J56" s="57"/>
      <c r="K56" s="88">
        <f>AVERAGE(H54:K54)</f>
        <v>0.45537780673633743</v>
      </c>
    </row>
    <row r="57" spans="1:11" x14ac:dyDescent="0.3">
      <c r="I57" s="57" t="s">
        <v>194</v>
      </c>
      <c r="J57" s="57"/>
      <c r="K57" s="88">
        <f>MEDIAN(H54:K54)</f>
        <v>0.47284901155983616</v>
      </c>
    </row>
    <row r="60" spans="1:11" x14ac:dyDescent="0.3">
      <c r="B60" s="28" t="s">
        <v>195</v>
      </c>
      <c r="C60" s="28"/>
      <c r="D60" s="28"/>
      <c r="E60" s="28"/>
      <c r="F60" s="28"/>
      <c r="G60" s="60">
        <v>44621</v>
      </c>
      <c r="H60" s="60">
        <v>44986</v>
      </c>
      <c r="I60" s="60">
        <v>45352</v>
      </c>
      <c r="J60" s="60">
        <v>45717</v>
      </c>
      <c r="K60" s="60">
        <v>46082</v>
      </c>
    </row>
    <row r="61" spans="1:11" x14ac:dyDescent="0.3">
      <c r="B61" s="63"/>
      <c r="C61" s="63"/>
      <c r="D61" s="63"/>
      <c r="E61" s="63"/>
      <c r="F61" s="63"/>
      <c r="G61" s="63"/>
      <c r="H61" s="63"/>
      <c r="I61" s="63"/>
      <c r="J61" s="63"/>
      <c r="K61" s="63"/>
    </row>
    <row r="62" spans="1:11" x14ac:dyDescent="0.3">
      <c r="B62" s="63" t="s">
        <v>162</v>
      </c>
      <c r="C62" s="63"/>
      <c r="D62" s="63"/>
      <c r="E62" s="63"/>
      <c r="F62" s="63"/>
      <c r="G62" s="63"/>
      <c r="H62" s="91">
        <f>H54</f>
        <v>0.54089945984660848</v>
      </c>
      <c r="I62" s="91">
        <f t="shared" ref="I62:K62" si="12">I54</f>
        <v>0.45776491156265503</v>
      </c>
      <c r="J62" s="91">
        <f t="shared" si="12"/>
        <v>0.48793311155701724</v>
      </c>
      <c r="K62" s="91">
        <f t="shared" si="12"/>
        <v>0.33491374397906892</v>
      </c>
    </row>
    <row r="63" spans="1:11" x14ac:dyDescent="0.3">
      <c r="B63" s="63" t="s">
        <v>155</v>
      </c>
      <c r="C63" s="63"/>
      <c r="D63" s="63"/>
      <c r="E63" s="63"/>
      <c r="F63" s="63"/>
      <c r="G63" s="63"/>
      <c r="H63" s="91">
        <f>H40</f>
        <v>0.46877754202709315</v>
      </c>
      <c r="I63" s="91">
        <f t="shared" ref="I63:K63" si="13">I40</f>
        <v>0.55107398920836714</v>
      </c>
      <c r="J63" s="91">
        <f t="shared" si="13"/>
        <v>0.33921028996664104</v>
      </c>
      <c r="K63" s="91">
        <f t="shared" si="13"/>
        <v>0.3839823341477166</v>
      </c>
    </row>
    <row r="64" spans="1:11" x14ac:dyDescent="0.3">
      <c r="B64" s="63"/>
      <c r="C64" s="63"/>
      <c r="D64" s="63"/>
      <c r="E64" s="63"/>
      <c r="F64" s="63"/>
      <c r="G64" s="63"/>
      <c r="H64" s="63"/>
      <c r="I64" s="63"/>
      <c r="J64" s="63"/>
      <c r="K64" s="63"/>
    </row>
    <row r="65" spans="1:11" ht="15" thickBot="1" x14ac:dyDescent="0.35">
      <c r="A65" s="21" t="s">
        <v>140</v>
      </c>
      <c r="B65" s="92" t="s">
        <v>196</v>
      </c>
      <c r="C65" s="92"/>
      <c r="D65" s="92"/>
      <c r="E65" s="92"/>
      <c r="F65" s="92"/>
      <c r="G65" s="92"/>
      <c r="H65" s="93">
        <f>H62*H63</f>
        <v>0.2535615192706755</v>
      </c>
      <c r="I65" s="93">
        <f t="shared" ref="I65:K65" si="14">I62*I63</f>
        <v>0.25226233593444769</v>
      </c>
      <c r="J65" s="93">
        <f t="shared" si="14"/>
        <v>0.16551193225558122</v>
      </c>
      <c r="K65" s="93">
        <f t="shared" si="14"/>
        <v>0.12860096115123365</v>
      </c>
    </row>
    <row r="66" spans="1:11" ht="15" thickTop="1" x14ac:dyDescent="0.3"/>
    <row r="67" spans="1:11" x14ac:dyDescent="0.3">
      <c r="I67" s="57" t="s">
        <v>197</v>
      </c>
      <c r="J67" s="57"/>
      <c r="K67" s="88">
        <f>AVERAGE(H65:K65)</f>
        <v>0.19998418715298452</v>
      </c>
    </row>
    <row r="68" spans="1:11" x14ac:dyDescent="0.3">
      <c r="I68" s="57" t="s">
        <v>194</v>
      </c>
      <c r="J68" s="57"/>
      <c r="K68" s="88">
        <f>MEDIAN(H65:K65)</f>
        <v>0.20888713409501447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5F0C-30AD-4073-8A23-A6177066204E}">
  <dimension ref="B5:Q76"/>
  <sheetViews>
    <sheetView showGridLines="0" topLeftCell="A49" workbookViewId="0">
      <selection activeCell="O65" sqref="O65"/>
    </sheetView>
  </sheetViews>
  <sheetFormatPr defaultRowHeight="14.4" x14ac:dyDescent="0.3"/>
  <cols>
    <col min="1" max="1" width="1.88671875" customWidth="1"/>
    <col min="2" max="2" width="24.77734375" bestFit="1" customWidth="1"/>
  </cols>
  <sheetData>
    <row r="5" spans="2:14" x14ac:dyDescent="0.3">
      <c r="B5" s="28" t="s">
        <v>128</v>
      </c>
      <c r="C5" s="60">
        <v>42064</v>
      </c>
      <c r="D5" s="60">
        <v>42430</v>
      </c>
      <c r="E5" s="60">
        <v>42795</v>
      </c>
      <c r="F5" s="60">
        <v>43160</v>
      </c>
      <c r="G5" s="60">
        <v>43525</v>
      </c>
      <c r="H5" s="60">
        <v>43891</v>
      </c>
      <c r="I5" s="60">
        <v>44256</v>
      </c>
      <c r="J5" s="60">
        <v>44621</v>
      </c>
      <c r="K5" s="60">
        <v>44986</v>
      </c>
      <c r="L5" s="60">
        <v>45352</v>
      </c>
      <c r="M5" s="60">
        <v>45717</v>
      </c>
      <c r="N5" s="60">
        <v>46082</v>
      </c>
    </row>
    <row r="6" spans="2:14" x14ac:dyDescent="0.3">
      <c r="B6" t="s">
        <v>100</v>
      </c>
      <c r="C6" s="77">
        <v>96</v>
      </c>
      <c r="D6" s="77">
        <v>96</v>
      </c>
      <c r="E6" s="77">
        <v>96</v>
      </c>
      <c r="F6" s="77">
        <v>96</v>
      </c>
      <c r="G6" s="77">
        <v>96</v>
      </c>
      <c r="H6" s="77">
        <v>96</v>
      </c>
      <c r="I6" s="77">
        <v>96</v>
      </c>
      <c r="J6" s="77">
        <v>96</v>
      </c>
      <c r="K6" s="77">
        <v>96</v>
      </c>
      <c r="L6" s="77">
        <v>96</v>
      </c>
      <c r="M6" s="77">
        <v>96</v>
      </c>
      <c r="N6" s="77">
        <v>96</v>
      </c>
    </row>
    <row r="7" spans="2:14" x14ac:dyDescent="0.3">
      <c r="B7" t="s">
        <v>101</v>
      </c>
      <c r="C7" s="77">
        <v>4646</v>
      </c>
      <c r="D7" s="77">
        <v>6429</v>
      </c>
      <c r="E7" s="77">
        <v>7508</v>
      </c>
      <c r="F7" s="77">
        <v>8314</v>
      </c>
      <c r="G7" s="77">
        <v>9375</v>
      </c>
      <c r="H7" s="77">
        <v>10034</v>
      </c>
      <c r="I7" s="77">
        <v>12710</v>
      </c>
      <c r="J7" s="77">
        <v>13716</v>
      </c>
      <c r="K7" s="77">
        <v>15896</v>
      </c>
      <c r="L7" s="77">
        <v>18632</v>
      </c>
      <c r="M7" s="77">
        <v>19304</v>
      </c>
      <c r="N7" s="77">
        <v>21276</v>
      </c>
    </row>
    <row r="8" spans="2:14" x14ac:dyDescent="0.3">
      <c r="B8" s="21" t="s">
        <v>131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</row>
    <row r="9" spans="2:14" x14ac:dyDescent="0.3">
      <c r="B9" t="s">
        <v>102</v>
      </c>
      <c r="C9" s="77">
        <v>78</v>
      </c>
      <c r="D9" s="77">
        <v>73</v>
      </c>
      <c r="E9" s="77">
        <v>41</v>
      </c>
      <c r="F9" s="77">
        <v>28</v>
      </c>
      <c r="G9" s="77">
        <v>19</v>
      </c>
      <c r="H9" s="77">
        <v>19</v>
      </c>
      <c r="I9" s="77">
        <v>15</v>
      </c>
      <c r="J9" s="77">
        <v>45</v>
      </c>
      <c r="K9" s="77">
        <v>76</v>
      </c>
      <c r="L9" s="77">
        <v>54</v>
      </c>
      <c r="M9" s="77">
        <v>260</v>
      </c>
      <c r="N9" s="77">
        <v>1247</v>
      </c>
    </row>
    <row r="10" spans="2:14" x14ac:dyDescent="0.3">
      <c r="B10" t="s">
        <v>103</v>
      </c>
      <c r="C10" s="77">
        <v>332</v>
      </c>
      <c r="D10" s="77">
        <v>231</v>
      </c>
      <c r="E10" s="77">
        <v>504</v>
      </c>
      <c r="F10" s="77">
        <v>492</v>
      </c>
      <c r="G10" s="77">
        <v>597</v>
      </c>
      <c r="H10" s="77">
        <v>321</v>
      </c>
      <c r="I10" s="77">
        <v>334</v>
      </c>
      <c r="J10" s="77">
        <v>731</v>
      </c>
      <c r="K10" s="77">
        <v>896</v>
      </c>
      <c r="L10" s="77">
        <v>1053</v>
      </c>
      <c r="M10" s="77">
        <v>604</v>
      </c>
      <c r="N10" s="77">
        <v>1046</v>
      </c>
    </row>
    <row r="11" spans="2:14" x14ac:dyDescent="0.3">
      <c r="B11" t="s">
        <v>104</v>
      </c>
      <c r="C11" s="77">
        <v>0</v>
      </c>
      <c r="D11" s="77">
        <v>0</v>
      </c>
      <c r="E11" s="77">
        <v>0</v>
      </c>
      <c r="F11" s="77">
        <v>0</v>
      </c>
      <c r="G11" s="77">
        <v>693</v>
      </c>
      <c r="H11" s="77">
        <v>764</v>
      </c>
      <c r="I11" s="77">
        <v>745</v>
      </c>
      <c r="J11" s="77">
        <v>811</v>
      </c>
      <c r="K11" s="77">
        <v>960</v>
      </c>
      <c r="L11" s="77">
        <v>1367</v>
      </c>
      <c r="M11" s="77">
        <v>1427</v>
      </c>
      <c r="N11" s="77">
        <v>1636</v>
      </c>
    </row>
    <row r="12" spans="2:14" x14ac:dyDescent="0.3">
      <c r="B12" t="s">
        <v>105</v>
      </c>
      <c r="C12" s="77">
        <v>8</v>
      </c>
      <c r="D12" s="77">
        <v>20</v>
      </c>
      <c r="E12" s="77">
        <v>15</v>
      </c>
      <c r="F12" s="77">
        <v>13</v>
      </c>
      <c r="G12" s="77">
        <v>11</v>
      </c>
      <c r="H12" s="77">
        <v>15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</row>
    <row r="13" spans="2:14" x14ac:dyDescent="0.3">
      <c r="B13" s="21" t="s">
        <v>132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</row>
    <row r="14" spans="2:14" x14ac:dyDescent="0.3">
      <c r="B14" t="s">
        <v>106</v>
      </c>
      <c r="C14" s="77">
        <v>264</v>
      </c>
      <c r="D14" s="77">
        <v>384</v>
      </c>
      <c r="E14" s="77">
        <v>375</v>
      </c>
      <c r="F14" s="77">
        <v>328</v>
      </c>
      <c r="G14" s="77">
        <v>361</v>
      </c>
      <c r="H14" s="77">
        <v>404</v>
      </c>
      <c r="I14" s="77">
        <v>423</v>
      </c>
      <c r="J14" s="77">
        <v>388</v>
      </c>
      <c r="K14" s="77">
        <v>454</v>
      </c>
      <c r="L14" s="77">
        <v>695</v>
      </c>
      <c r="M14" s="77">
        <v>659</v>
      </c>
      <c r="N14" s="77">
        <v>643</v>
      </c>
    </row>
    <row r="15" spans="2:14" x14ac:dyDescent="0.3">
      <c r="B15" t="s">
        <v>107</v>
      </c>
      <c r="C15" s="77">
        <v>1549</v>
      </c>
      <c r="D15" s="77">
        <v>1565</v>
      </c>
      <c r="E15" s="77">
        <v>1923</v>
      </c>
      <c r="F15" s="77">
        <v>2160</v>
      </c>
      <c r="G15" s="77">
        <v>2394</v>
      </c>
      <c r="H15" s="77">
        <v>2137</v>
      </c>
      <c r="I15" s="77">
        <v>3379</v>
      </c>
      <c r="J15" s="77">
        <v>4164</v>
      </c>
      <c r="K15" s="77">
        <v>3635</v>
      </c>
      <c r="L15" s="77">
        <v>3831</v>
      </c>
      <c r="M15" s="77">
        <v>3848</v>
      </c>
      <c r="N15" s="77">
        <v>3863</v>
      </c>
    </row>
    <row r="16" spans="2:14" x14ac:dyDescent="0.3">
      <c r="B16" t="s">
        <v>108</v>
      </c>
      <c r="C16" s="77">
        <v>5</v>
      </c>
      <c r="D16" s="77">
        <v>12</v>
      </c>
      <c r="E16" s="77">
        <v>17</v>
      </c>
      <c r="F16" s="77">
        <v>16</v>
      </c>
      <c r="G16" s="77">
        <v>13</v>
      </c>
      <c r="H16" s="77">
        <v>29</v>
      </c>
      <c r="I16" s="77">
        <v>41</v>
      </c>
      <c r="J16" s="77">
        <v>76</v>
      </c>
      <c r="K16" s="77">
        <v>108</v>
      </c>
      <c r="L16" s="77">
        <v>154</v>
      </c>
      <c r="M16" s="77">
        <v>174</v>
      </c>
      <c r="N16" s="77">
        <v>107</v>
      </c>
    </row>
    <row r="17" spans="2:16" x14ac:dyDescent="0.3">
      <c r="B17" t="s">
        <v>109</v>
      </c>
      <c r="C17" s="77">
        <v>1937</v>
      </c>
      <c r="D17" s="77">
        <v>1750</v>
      </c>
      <c r="E17" s="77">
        <v>1925</v>
      </c>
      <c r="F17" s="77">
        <v>2316</v>
      </c>
      <c r="G17" s="77">
        <v>2690</v>
      </c>
      <c r="H17" s="77">
        <v>2320</v>
      </c>
      <c r="I17" s="77">
        <v>2613</v>
      </c>
      <c r="J17" s="77">
        <v>2932</v>
      </c>
      <c r="K17" s="77">
        <v>3657</v>
      </c>
      <c r="L17" s="77">
        <v>4017</v>
      </c>
      <c r="M17" s="77">
        <v>3984</v>
      </c>
      <c r="N17" s="77">
        <v>4604</v>
      </c>
    </row>
    <row r="18" spans="2:16" ht="15" thickBot="1" x14ac:dyDescent="0.35">
      <c r="B18" s="65" t="s">
        <v>110</v>
      </c>
      <c r="C18" s="80">
        <v>8914</v>
      </c>
      <c r="D18" s="80">
        <v>10559</v>
      </c>
      <c r="E18" s="80">
        <v>12405</v>
      </c>
      <c r="F18" s="80">
        <v>13763</v>
      </c>
      <c r="G18" s="80">
        <v>16249</v>
      </c>
      <c r="H18" s="80">
        <v>16138</v>
      </c>
      <c r="I18" s="80">
        <v>20355</v>
      </c>
      <c r="J18" s="80">
        <v>22958</v>
      </c>
      <c r="K18" s="80">
        <v>25779</v>
      </c>
      <c r="L18" s="80">
        <v>29901</v>
      </c>
      <c r="M18" s="80">
        <v>30355</v>
      </c>
      <c r="N18" s="80">
        <v>34519</v>
      </c>
    </row>
    <row r="19" spans="2:16" ht="15" thickTop="1" x14ac:dyDescent="0.3">
      <c r="B19" s="21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2:16" x14ac:dyDescent="0.3">
      <c r="B20" s="21" t="s">
        <v>133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</row>
    <row r="21" spans="2:16" x14ac:dyDescent="0.3">
      <c r="B21" t="s">
        <v>111</v>
      </c>
      <c r="C21" s="77">
        <v>251</v>
      </c>
      <c r="D21" s="77">
        <v>429</v>
      </c>
      <c r="E21" s="77">
        <v>408</v>
      </c>
      <c r="F21" s="77">
        <v>586</v>
      </c>
      <c r="G21" s="77">
        <v>605</v>
      </c>
      <c r="H21" s="77">
        <v>640</v>
      </c>
      <c r="I21" s="77">
        <v>644</v>
      </c>
      <c r="J21" s="77">
        <v>644</v>
      </c>
      <c r="K21" s="77">
        <v>804</v>
      </c>
      <c r="L21" s="77">
        <v>1126</v>
      </c>
      <c r="M21" s="77">
        <v>1035</v>
      </c>
      <c r="N21" s="77">
        <v>1204</v>
      </c>
      <c r="P21" s="59"/>
    </row>
    <row r="22" spans="2:16" x14ac:dyDescent="0.3">
      <c r="B22" t="s">
        <v>112</v>
      </c>
      <c r="C22" s="77">
        <v>962</v>
      </c>
      <c r="D22" s="77">
        <v>923</v>
      </c>
      <c r="E22" s="77">
        <v>931</v>
      </c>
      <c r="F22" s="77">
        <v>957</v>
      </c>
      <c r="G22" s="77">
        <v>2402</v>
      </c>
      <c r="H22" s="77">
        <v>2257</v>
      </c>
      <c r="I22" s="77">
        <v>2249</v>
      </c>
      <c r="J22" s="77">
        <v>2325</v>
      </c>
      <c r="K22" s="77">
        <v>2883</v>
      </c>
      <c r="L22" s="77">
        <v>3390</v>
      </c>
      <c r="M22" s="77">
        <v>3771</v>
      </c>
      <c r="N22" s="77">
        <v>4124</v>
      </c>
    </row>
    <row r="23" spans="2:16" x14ac:dyDescent="0.3">
      <c r="B23" t="s">
        <v>113</v>
      </c>
      <c r="C23" s="77">
        <v>2132</v>
      </c>
      <c r="D23" s="77">
        <v>1793</v>
      </c>
      <c r="E23" s="77">
        <v>1980</v>
      </c>
      <c r="F23" s="77">
        <v>2157</v>
      </c>
      <c r="G23" s="77">
        <v>4006</v>
      </c>
      <c r="H23" s="77">
        <v>4208</v>
      </c>
      <c r="I23" s="77">
        <v>4340</v>
      </c>
      <c r="J23" s="77">
        <v>4531</v>
      </c>
      <c r="K23" s="77">
        <v>4825</v>
      </c>
      <c r="L23" s="77">
        <v>5422</v>
      </c>
      <c r="M23" s="77">
        <v>7576</v>
      </c>
      <c r="N23" s="77">
        <v>8210</v>
      </c>
    </row>
    <row r="24" spans="2:16" x14ac:dyDescent="0.3">
      <c r="B24" t="s">
        <v>114</v>
      </c>
      <c r="C24" s="77">
        <v>171</v>
      </c>
      <c r="D24" s="77">
        <v>97</v>
      </c>
      <c r="E24" s="77">
        <v>119</v>
      </c>
      <c r="F24" s="77">
        <v>200</v>
      </c>
      <c r="G24" s="77">
        <v>221</v>
      </c>
      <c r="H24" s="77">
        <v>241</v>
      </c>
      <c r="I24" s="77">
        <v>243</v>
      </c>
      <c r="J24" s="77">
        <v>253</v>
      </c>
      <c r="K24" s="77">
        <v>270</v>
      </c>
      <c r="L24" s="77">
        <v>298</v>
      </c>
      <c r="M24" s="77">
        <v>325</v>
      </c>
      <c r="N24" s="77">
        <v>351</v>
      </c>
    </row>
    <row r="25" spans="2:16" x14ac:dyDescent="0.3">
      <c r="B25" t="s">
        <v>115</v>
      </c>
      <c r="C25" s="77">
        <v>83</v>
      </c>
      <c r="D25" s="77">
        <v>49</v>
      </c>
      <c r="E25" s="77">
        <v>59</v>
      </c>
      <c r="F25" s="77">
        <v>72</v>
      </c>
      <c r="G25" s="77">
        <v>88</v>
      </c>
      <c r="H25" s="77">
        <v>94</v>
      </c>
      <c r="I25" s="77">
        <v>99</v>
      </c>
      <c r="J25" s="77">
        <v>113</v>
      </c>
      <c r="K25" s="77">
        <v>146</v>
      </c>
      <c r="L25" s="77">
        <v>175</v>
      </c>
      <c r="M25" s="77">
        <v>203</v>
      </c>
      <c r="N25" s="77">
        <v>216</v>
      </c>
    </row>
    <row r="26" spans="2:16" x14ac:dyDescent="0.3">
      <c r="B26" t="s">
        <v>116</v>
      </c>
      <c r="C26" s="77">
        <v>18</v>
      </c>
      <c r="D26" s="77">
        <v>11</v>
      </c>
      <c r="E26" s="77">
        <v>14</v>
      </c>
      <c r="F26" s="77">
        <v>27</v>
      </c>
      <c r="G26" s="77">
        <v>47</v>
      </c>
      <c r="H26" s="77">
        <v>43</v>
      </c>
      <c r="I26" s="77">
        <v>38</v>
      </c>
      <c r="J26" s="77">
        <v>32</v>
      </c>
      <c r="K26" s="77">
        <v>36</v>
      </c>
      <c r="L26" s="77">
        <v>40</v>
      </c>
      <c r="M26" s="77">
        <v>34</v>
      </c>
      <c r="N26" s="77">
        <v>45</v>
      </c>
    </row>
    <row r="27" spans="2:16" x14ac:dyDescent="0.3">
      <c r="B27" t="s">
        <v>117</v>
      </c>
      <c r="C27" s="77">
        <v>351</v>
      </c>
      <c r="D27" s="77">
        <v>339</v>
      </c>
      <c r="E27" s="77">
        <v>276</v>
      </c>
      <c r="F27" s="77">
        <v>468</v>
      </c>
      <c r="G27" s="77">
        <v>512</v>
      </c>
      <c r="H27" s="77">
        <v>505</v>
      </c>
      <c r="I27" s="77">
        <v>476</v>
      </c>
      <c r="J27" s="77">
        <v>345</v>
      </c>
      <c r="K27" s="77">
        <v>422</v>
      </c>
      <c r="L27" s="77">
        <v>850</v>
      </c>
      <c r="M27" s="77">
        <v>827</v>
      </c>
      <c r="N27" s="77">
        <v>833</v>
      </c>
    </row>
    <row r="28" spans="2:16" x14ac:dyDescent="0.3">
      <c r="B28" t="s">
        <v>118</v>
      </c>
      <c r="C28" s="77">
        <v>145</v>
      </c>
      <c r="D28" s="77">
        <v>103</v>
      </c>
      <c r="E28" s="77">
        <v>128</v>
      </c>
      <c r="F28" s="77">
        <v>238</v>
      </c>
      <c r="G28" s="77">
        <v>261</v>
      </c>
      <c r="H28" s="77">
        <v>293</v>
      </c>
      <c r="I28" s="77">
        <v>302</v>
      </c>
      <c r="J28" s="77">
        <v>294</v>
      </c>
      <c r="K28" s="77">
        <v>289</v>
      </c>
      <c r="L28" s="77">
        <v>321</v>
      </c>
      <c r="M28" s="77">
        <v>328</v>
      </c>
      <c r="N28" s="77">
        <v>335</v>
      </c>
    </row>
    <row r="29" spans="2:16" s="21" customFormat="1" x14ac:dyDescent="0.3">
      <c r="B29" s="21" t="s">
        <v>119</v>
      </c>
      <c r="C29" s="95">
        <v>4112</v>
      </c>
      <c r="D29" s="95">
        <v>3744</v>
      </c>
      <c r="E29" s="95">
        <v>3914</v>
      </c>
      <c r="F29" s="95">
        <v>4705</v>
      </c>
      <c r="G29" s="95">
        <v>8141</v>
      </c>
      <c r="H29" s="95">
        <v>8282</v>
      </c>
      <c r="I29" s="95">
        <v>8392</v>
      </c>
      <c r="J29" s="95">
        <v>8538</v>
      </c>
      <c r="K29" s="95">
        <v>9676</v>
      </c>
      <c r="L29" s="95">
        <v>11622</v>
      </c>
      <c r="M29" s="95">
        <v>14099</v>
      </c>
      <c r="N29" s="95">
        <v>15316</v>
      </c>
    </row>
    <row r="30" spans="2:16" x14ac:dyDescent="0.3">
      <c r="B30" s="21" t="s">
        <v>120</v>
      </c>
      <c r="C30" s="95">
        <v>-1452</v>
      </c>
      <c r="D30" s="95">
        <v>-327</v>
      </c>
      <c r="E30" s="95">
        <v>-610</v>
      </c>
      <c r="F30" s="95">
        <v>-973</v>
      </c>
      <c r="G30" s="95">
        <v>-1644</v>
      </c>
      <c r="H30" s="95">
        <v>-2010</v>
      </c>
      <c r="I30" s="95">
        <v>-2533</v>
      </c>
      <c r="J30" s="95">
        <v>-3019</v>
      </c>
      <c r="K30" s="95">
        <v>-3905</v>
      </c>
      <c r="L30" s="95">
        <v>-4475</v>
      </c>
      <c r="M30" s="95">
        <v>-4879</v>
      </c>
      <c r="N30" s="95">
        <v>-5676</v>
      </c>
      <c r="P30" s="66"/>
    </row>
    <row r="31" spans="2:16" x14ac:dyDescent="0.3">
      <c r="B31" s="8" t="s">
        <v>129</v>
      </c>
      <c r="C31" s="81">
        <f>SUM(C29:C30)</f>
        <v>2660</v>
      </c>
      <c r="D31" s="81">
        <f t="shared" ref="D31:N31" si="0">SUM(D29:D30)</f>
        <v>3417</v>
      </c>
      <c r="E31" s="81">
        <f t="shared" si="0"/>
        <v>3304</v>
      </c>
      <c r="F31" s="81">
        <f t="shared" si="0"/>
        <v>3732</v>
      </c>
      <c r="G31" s="81">
        <f t="shared" si="0"/>
        <v>6497</v>
      </c>
      <c r="H31" s="81">
        <f t="shared" si="0"/>
        <v>6272</v>
      </c>
      <c r="I31" s="81">
        <f t="shared" si="0"/>
        <v>5859</v>
      </c>
      <c r="J31" s="81">
        <f t="shared" si="0"/>
        <v>5519</v>
      </c>
      <c r="K31" s="81">
        <f t="shared" si="0"/>
        <v>5771</v>
      </c>
      <c r="L31" s="81">
        <f t="shared" si="0"/>
        <v>7147</v>
      </c>
      <c r="M31" s="81">
        <f t="shared" si="0"/>
        <v>9220</v>
      </c>
      <c r="N31" s="81">
        <f t="shared" si="0"/>
        <v>9640</v>
      </c>
    </row>
    <row r="32" spans="2:16" x14ac:dyDescent="0.3">
      <c r="B32" s="21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7" x14ac:dyDescent="0.3">
      <c r="B33" t="s">
        <v>121</v>
      </c>
      <c r="C33" s="77">
        <v>196</v>
      </c>
      <c r="D33" s="77">
        <v>107</v>
      </c>
      <c r="E33" s="77">
        <v>258</v>
      </c>
      <c r="F33" s="77">
        <v>1405</v>
      </c>
      <c r="G33" s="77">
        <v>210</v>
      </c>
      <c r="H33" s="77">
        <v>140</v>
      </c>
      <c r="I33" s="77">
        <v>183</v>
      </c>
      <c r="J33" s="77">
        <v>426</v>
      </c>
      <c r="K33" s="77">
        <v>1020</v>
      </c>
      <c r="L33" s="77">
        <v>2698</v>
      </c>
      <c r="M33" s="77">
        <v>1254</v>
      </c>
      <c r="N33" s="77">
        <v>1849</v>
      </c>
    </row>
    <row r="34" spans="2:17" x14ac:dyDescent="0.3">
      <c r="B34" t="s">
        <v>122</v>
      </c>
      <c r="C34" s="77">
        <v>1588</v>
      </c>
      <c r="D34" s="77">
        <v>2712</v>
      </c>
      <c r="E34" s="77">
        <v>2652</v>
      </c>
      <c r="F34" s="77">
        <v>2141</v>
      </c>
      <c r="G34" s="77">
        <v>2569</v>
      </c>
      <c r="H34" s="77">
        <v>2019</v>
      </c>
      <c r="I34" s="77">
        <v>4737</v>
      </c>
      <c r="J34" s="77">
        <v>3248</v>
      </c>
      <c r="K34" s="77">
        <v>4262</v>
      </c>
      <c r="L34" s="77">
        <v>4588</v>
      </c>
      <c r="M34" s="77">
        <v>4725</v>
      </c>
      <c r="N34" s="77">
        <v>7062</v>
      </c>
    </row>
    <row r="35" spans="2:17" x14ac:dyDescent="0.3"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 spans="2:17" x14ac:dyDescent="0.3">
      <c r="B36" s="21" t="s">
        <v>134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Q36" s="59"/>
    </row>
    <row r="37" spans="2:17" x14ac:dyDescent="0.3">
      <c r="B37" t="s">
        <v>123</v>
      </c>
      <c r="C37" s="77">
        <v>2259</v>
      </c>
      <c r="D37" s="77">
        <v>1998</v>
      </c>
      <c r="E37" s="77">
        <v>2627</v>
      </c>
      <c r="F37" s="77">
        <v>2658</v>
      </c>
      <c r="G37" s="77">
        <v>3150</v>
      </c>
      <c r="H37" s="77">
        <v>3390</v>
      </c>
      <c r="I37" s="77">
        <v>3799</v>
      </c>
      <c r="J37" s="77">
        <v>6153</v>
      </c>
      <c r="K37" s="77">
        <v>6211</v>
      </c>
      <c r="L37" s="77">
        <v>5923</v>
      </c>
      <c r="M37" s="77">
        <v>6719</v>
      </c>
      <c r="N37" s="77">
        <v>5744</v>
      </c>
    </row>
    <row r="38" spans="2:17" x14ac:dyDescent="0.3">
      <c r="B38" t="s">
        <v>130</v>
      </c>
      <c r="C38" s="77">
        <v>1182</v>
      </c>
      <c r="D38" s="77">
        <v>1187</v>
      </c>
      <c r="E38" s="77">
        <v>1447</v>
      </c>
      <c r="F38" s="77">
        <v>1731</v>
      </c>
      <c r="G38" s="77">
        <v>1907</v>
      </c>
      <c r="H38" s="77">
        <v>1795</v>
      </c>
      <c r="I38" s="77">
        <v>2602</v>
      </c>
      <c r="J38" s="77">
        <v>3871</v>
      </c>
      <c r="K38" s="77">
        <v>4637</v>
      </c>
      <c r="L38" s="77">
        <v>4889</v>
      </c>
      <c r="M38" s="77">
        <v>4314</v>
      </c>
      <c r="N38" s="77">
        <v>4462</v>
      </c>
    </row>
    <row r="39" spans="2:17" x14ac:dyDescent="0.3">
      <c r="B39" t="s">
        <v>124</v>
      </c>
      <c r="C39" s="77">
        <v>204</v>
      </c>
      <c r="D39" s="77">
        <v>424</v>
      </c>
      <c r="E39" s="77">
        <v>801</v>
      </c>
      <c r="F39" s="77">
        <v>405</v>
      </c>
      <c r="G39" s="77">
        <v>445</v>
      </c>
      <c r="H39" s="77">
        <v>783</v>
      </c>
      <c r="I39" s="77">
        <v>611</v>
      </c>
      <c r="J39" s="77">
        <v>864</v>
      </c>
      <c r="K39" s="77">
        <v>844</v>
      </c>
      <c r="L39" s="77">
        <v>1084</v>
      </c>
      <c r="M39" s="77">
        <v>782</v>
      </c>
      <c r="N39" s="77">
        <v>1074</v>
      </c>
    </row>
    <row r="40" spans="2:17" x14ac:dyDescent="0.3">
      <c r="B40" t="s">
        <v>125</v>
      </c>
      <c r="C40" s="77">
        <v>8</v>
      </c>
      <c r="D40" s="77">
        <v>9</v>
      </c>
      <c r="E40" s="77">
        <v>14</v>
      </c>
      <c r="F40" s="77">
        <v>13</v>
      </c>
      <c r="G40" s="77">
        <v>16</v>
      </c>
      <c r="H40" s="77">
        <v>12</v>
      </c>
      <c r="I40" s="77">
        <v>11</v>
      </c>
      <c r="J40" s="77">
        <v>8</v>
      </c>
      <c r="K40" s="77">
        <v>12</v>
      </c>
      <c r="L40" s="77">
        <v>17</v>
      </c>
      <c r="M40" s="77">
        <v>22</v>
      </c>
      <c r="N40" s="77">
        <v>27</v>
      </c>
    </row>
    <row r="41" spans="2:17" x14ac:dyDescent="0.3">
      <c r="B41" t="s">
        <v>126</v>
      </c>
      <c r="C41" s="96">
        <v>817</v>
      </c>
      <c r="D41" s="96">
        <v>705</v>
      </c>
      <c r="E41" s="96">
        <v>1303</v>
      </c>
      <c r="F41" s="96">
        <v>1678</v>
      </c>
      <c r="G41" s="96">
        <v>1456</v>
      </c>
      <c r="H41" s="96">
        <v>1727</v>
      </c>
      <c r="I41" s="96">
        <v>2555</v>
      </c>
      <c r="J41" s="96">
        <v>2869</v>
      </c>
      <c r="K41" s="96">
        <v>3024</v>
      </c>
      <c r="L41" s="96">
        <v>3555</v>
      </c>
      <c r="M41" s="96">
        <v>3319</v>
      </c>
      <c r="N41" s="96">
        <v>4662</v>
      </c>
    </row>
    <row r="42" spans="2:17" ht="15" thickBot="1" x14ac:dyDescent="0.35">
      <c r="B42" s="65" t="s">
        <v>127</v>
      </c>
      <c r="C42" s="80">
        <v>8914</v>
      </c>
      <c r="D42" s="80">
        <v>10559</v>
      </c>
      <c r="E42" s="80">
        <v>12405</v>
      </c>
      <c r="F42" s="80">
        <v>13763</v>
      </c>
      <c r="G42" s="80">
        <v>16249</v>
      </c>
      <c r="H42" s="80">
        <v>16138</v>
      </c>
      <c r="I42" s="80">
        <v>20355</v>
      </c>
      <c r="J42" s="80">
        <v>22958</v>
      </c>
      <c r="K42" s="80">
        <v>25779</v>
      </c>
      <c r="L42" s="80">
        <v>29901</v>
      </c>
      <c r="M42" s="80">
        <v>30355</v>
      </c>
      <c r="N42" s="80">
        <v>34519</v>
      </c>
    </row>
    <row r="43" spans="2:17" ht="15" thickTop="1" x14ac:dyDescent="0.3"/>
    <row r="46" spans="2:17" x14ac:dyDescent="0.3">
      <c r="B46" s="28" t="s">
        <v>128</v>
      </c>
      <c r="C46" s="60">
        <v>42064</v>
      </c>
      <c r="D46" s="60">
        <v>42430</v>
      </c>
      <c r="E46" s="60">
        <v>42795</v>
      </c>
      <c r="F46" s="60">
        <v>43160</v>
      </c>
      <c r="G46" s="60">
        <v>43525</v>
      </c>
      <c r="H46" s="60">
        <v>43891</v>
      </c>
      <c r="I46" s="60">
        <v>44256</v>
      </c>
      <c r="J46" s="60">
        <v>44621</v>
      </c>
      <c r="K46" s="60">
        <v>44986</v>
      </c>
      <c r="L46" s="60">
        <v>45352</v>
      </c>
      <c r="M46" s="60">
        <v>45717</v>
      </c>
      <c r="N46" s="60">
        <v>46082</v>
      </c>
    </row>
    <row r="47" spans="2:17" x14ac:dyDescent="0.3">
      <c r="B47" t="s">
        <v>190</v>
      </c>
      <c r="C47" s="79">
        <v>1188</v>
      </c>
      <c r="D47" s="79">
        <v>2243</v>
      </c>
      <c r="E47" s="79">
        <v>1527</v>
      </c>
      <c r="F47" s="79">
        <v>2113</v>
      </c>
      <c r="G47" s="79">
        <v>2470</v>
      </c>
      <c r="H47" s="79">
        <v>3038</v>
      </c>
      <c r="I47" s="79">
        <v>3683</v>
      </c>
      <c r="J47" s="79">
        <v>986</v>
      </c>
      <c r="K47" s="79">
        <v>4193</v>
      </c>
      <c r="L47" s="79">
        <v>6104</v>
      </c>
      <c r="M47" s="79">
        <v>4424</v>
      </c>
      <c r="N47" s="79">
        <v>7088</v>
      </c>
    </row>
    <row r="48" spans="2:17" x14ac:dyDescent="0.3">
      <c r="B48" t="s">
        <v>163</v>
      </c>
      <c r="C48" s="79">
        <v>2271</v>
      </c>
      <c r="D48" s="79">
        <v>2848</v>
      </c>
      <c r="E48" s="79">
        <v>3056</v>
      </c>
      <c r="F48" s="79">
        <v>3274</v>
      </c>
      <c r="G48" s="79">
        <v>3861</v>
      </c>
      <c r="H48" s="79">
        <v>4380</v>
      </c>
      <c r="I48" s="79">
        <v>4970</v>
      </c>
      <c r="J48" s="79">
        <v>4957</v>
      </c>
      <c r="K48" s="79">
        <v>6460</v>
      </c>
      <c r="L48" s="79">
        <v>7929</v>
      </c>
      <c r="M48" s="79">
        <v>6390</v>
      </c>
      <c r="N48" s="79">
        <v>7186</v>
      </c>
    </row>
    <row r="49" spans="2:14" x14ac:dyDescent="0.3">
      <c r="B49" t="s">
        <v>164</v>
      </c>
      <c r="C49" s="79">
        <v>-155</v>
      </c>
      <c r="D49" s="79">
        <v>-146</v>
      </c>
      <c r="E49" s="79">
        <v>-475</v>
      </c>
      <c r="F49" s="79">
        <v>-483</v>
      </c>
      <c r="G49" s="79">
        <v>-205</v>
      </c>
      <c r="H49" s="79">
        <v>160</v>
      </c>
      <c r="I49" s="79">
        <v>-849</v>
      </c>
      <c r="J49" s="79">
        <v>-1326</v>
      </c>
      <c r="K49" s="79">
        <v>-834</v>
      </c>
      <c r="L49" s="79">
        <v>-362</v>
      </c>
      <c r="M49" s="79">
        <v>282</v>
      </c>
      <c r="N49" s="79">
        <v>-274</v>
      </c>
    </row>
    <row r="50" spans="2:14" x14ac:dyDescent="0.3">
      <c r="B50" t="s">
        <v>165</v>
      </c>
      <c r="C50" s="79">
        <v>-144</v>
      </c>
      <c r="D50" s="79">
        <v>202</v>
      </c>
      <c r="E50" s="79">
        <v>-629</v>
      </c>
      <c r="F50" s="79">
        <v>-39</v>
      </c>
      <c r="G50" s="79">
        <v>-492</v>
      </c>
      <c r="H50" s="79">
        <v>-251</v>
      </c>
      <c r="I50" s="79">
        <v>-409</v>
      </c>
      <c r="J50" s="79">
        <v>-2354</v>
      </c>
      <c r="K50" s="79">
        <v>-56</v>
      </c>
      <c r="L50" s="79">
        <v>315</v>
      </c>
      <c r="M50" s="79">
        <v>-805</v>
      </c>
      <c r="N50" s="79">
        <v>976</v>
      </c>
    </row>
    <row r="51" spans="2:14" x14ac:dyDescent="0.3">
      <c r="B51" t="s">
        <v>166</v>
      </c>
      <c r="C51" s="79">
        <v>-151</v>
      </c>
      <c r="D51" s="79">
        <v>142</v>
      </c>
      <c r="E51" s="79">
        <v>501</v>
      </c>
      <c r="F51" s="79">
        <v>442</v>
      </c>
      <c r="G51" s="79">
        <v>287</v>
      </c>
      <c r="H51" s="79">
        <v>-241</v>
      </c>
      <c r="I51" s="79">
        <v>1143</v>
      </c>
      <c r="J51" s="79">
        <v>644</v>
      </c>
      <c r="K51" s="79">
        <v>-539</v>
      </c>
      <c r="L51" s="79">
        <v>269</v>
      </c>
      <c r="M51" s="79">
        <v>-160</v>
      </c>
      <c r="N51" s="79">
        <v>396</v>
      </c>
    </row>
    <row r="52" spans="2:14" x14ac:dyDescent="0.3">
      <c r="B52" t="s">
        <v>167</v>
      </c>
      <c r="C52" s="79">
        <v>0</v>
      </c>
      <c r="D52" s="79">
        <v>0</v>
      </c>
      <c r="E52" s="79">
        <v>0</v>
      </c>
      <c r="F52" s="79">
        <v>0</v>
      </c>
      <c r="G52" s="79">
        <v>0</v>
      </c>
      <c r="H52" s="79">
        <v>0</v>
      </c>
      <c r="I52" s="79">
        <v>-92</v>
      </c>
      <c r="J52" s="79">
        <v>242</v>
      </c>
      <c r="K52" s="79">
        <v>657</v>
      </c>
      <c r="L52" s="79">
        <v>-212</v>
      </c>
      <c r="M52" s="79">
        <v>114</v>
      </c>
      <c r="N52" s="79">
        <v>378</v>
      </c>
    </row>
    <row r="53" spans="2:14" x14ac:dyDescent="0.3">
      <c r="B53" t="s">
        <v>168</v>
      </c>
      <c r="C53" s="79">
        <v>-450</v>
      </c>
      <c r="D53" s="79">
        <v>198</v>
      </c>
      <c r="E53" s="79">
        <v>-603</v>
      </c>
      <c r="F53" s="79">
        <v>-80</v>
      </c>
      <c r="G53" s="79">
        <v>-410</v>
      </c>
      <c r="H53" s="79">
        <v>-331</v>
      </c>
      <c r="I53" s="79">
        <v>-206</v>
      </c>
      <c r="J53" s="79">
        <v>-2795</v>
      </c>
      <c r="K53" s="79">
        <v>-772</v>
      </c>
      <c r="L53" s="79">
        <v>10</v>
      </c>
      <c r="M53" s="79">
        <v>-570</v>
      </c>
      <c r="N53" s="79">
        <v>1476</v>
      </c>
    </row>
    <row r="54" spans="2:14" x14ac:dyDescent="0.3">
      <c r="B54" t="s">
        <v>169</v>
      </c>
      <c r="C54" s="79">
        <v>-633</v>
      </c>
      <c r="D54" s="79">
        <v>-802</v>
      </c>
      <c r="E54" s="79">
        <v>-925</v>
      </c>
      <c r="F54" s="79">
        <v>-1081</v>
      </c>
      <c r="G54" s="79">
        <v>-982</v>
      </c>
      <c r="H54" s="79">
        <v>-1011</v>
      </c>
      <c r="I54" s="79">
        <v>-1080</v>
      </c>
      <c r="J54" s="79">
        <v>-1176</v>
      </c>
      <c r="K54" s="79">
        <v>-1494</v>
      </c>
      <c r="L54" s="79">
        <v>-1835</v>
      </c>
      <c r="M54" s="79">
        <v>-1396</v>
      </c>
      <c r="N54" s="79">
        <v>-1574</v>
      </c>
    </row>
    <row r="55" spans="2:14" x14ac:dyDescent="0.3">
      <c r="B55" t="s">
        <v>191</v>
      </c>
      <c r="C55" s="79">
        <v>-465</v>
      </c>
      <c r="D55" s="79">
        <v>-866</v>
      </c>
      <c r="E55" s="79">
        <v>-681</v>
      </c>
      <c r="F55" s="79">
        <v>-1556</v>
      </c>
      <c r="G55" s="79">
        <v>-918</v>
      </c>
      <c r="H55" s="79">
        <v>-518</v>
      </c>
      <c r="I55" s="79">
        <v>-541</v>
      </c>
      <c r="J55" s="79">
        <v>-317</v>
      </c>
      <c r="K55" s="79">
        <v>-1282</v>
      </c>
      <c r="L55" s="79">
        <v>-2548</v>
      </c>
      <c r="M55" s="79">
        <v>-941</v>
      </c>
      <c r="N55" s="79">
        <v>-1328</v>
      </c>
    </row>
    <row r="56" spans="2:14" x14ac:dyDescent="0.3">
      <c r="B56" t="s">
        <v>170</v>
      </c>
      <c r="C56" s="79">
        <v>-454</v>
      </c>
      <c r="D56" s="79">
        <v>-817</v>
      </c>
      <c r="E56" s="79">
        <v>-684</v>
      </c>
      <c r="F56" s="79">
        <v>-1426</v>
      </c>
      <c r="G56" s="79">
        <v>-1151</v>
      </c>
      <c r="H56" s="79">
        <v>-414</v>
      </c>
      <c r="I56" s="79">
        <v>-289</v>
      </c>
      <c r="J56" s="79">
        <v>-551</v>
      </c>
      <c r="K56" s="79">
        <v>-1446</v>
      </c>
      <c r="L56" s="79">
        <v>-2496</v>
      </c>
      <c r="M56" s="79">
        <v>-1830</v>
      </c>
      <c r="N56" s="79">
        <v>-1487</v>
      </c>
    </row>
    <row r="57" spans="2:14" x14ac:dyDescent="0.3">
      <c r="B57" t="s">
        <v>171</v>
      </c>
      <c r="C57" s="79">
        <v>16</v>
      </c>
      <c r="D57" s="79">
        <v>15</v>
      </c>
      <c r="E57" s="79">
        <v>17</v>
      </c>
      <c r="F57" s="79">
        <v>17</v>
      </c>
      <c r="G57" s="79">
        <v>17</v>
      </c>
      <c r="H57" s="79">
        <v>37</v>
      </c>
      <c r="I57" s="79">
        <v>28</v>
      </c>
      <c r="J57" s="79">
        <v>40</v>
      </c>
      <c r="K57" s="79">
        <v>26</v>
      </c>
      <c r="L57" s="79">
        <v>5</v>
      </c>
      <c r="M57" s="79">
        <v>10</v>
      </c>
      <c r="N57" s="79">
        <v>3</v>
      </c>
    </row>
    <row r="58" spans="2:14" x14ac:dyDescent="0.3">
      <c r="B58" t="s">
        <v>172</v>
      </c>
      <c r="C58" s="79">
        <v>-243</v>
      </c>
      <c r="D58" s="79">
        <v>-282</v>
      </c>
      <c r="E58" s="79">
        <v>-153</v>
      </c>
      <c r="F58" s="79">
        <v>-320</v>
      </c>
      <c r="G58" s="79">
        <v>-573</v>
      </c>
      <c r="H58" s="79">
        <v>-25</v>
      </c>
      <c r="I58" s="79">
        <v>-140</v>
      </c>
      <c r="J58" s="79">
        <v>0</v>
      </c>
      <c r="K58" s="79">
        <v>-146</v>
      </c>
      <c r="L58" s="79">
        <v>-212</v>
      </c>
      <c r="M58" s="79">
        <v>-1</v>
      </c>
      <c r="N58" s="79">
        <v>0</v>
      </c>
    </row>
    <row r="59" spans="2:14" x14ac:dyDescent="0.3">
      <c r="B59" t="s">
        <v>173</v>
      </c>
      <c r="C59" s="79">
        <v>278</v>
      </c>
      <c r="D59" s="79">
        <v>205</v>
      </c>
      <c r="E59" s="79">
        <v>357</v>
      </c>
      <c r="F59" s="79">
        <v>362</v>
      </c>
      <c r="G59" s="79">
        <v>733</v>
      </c>
      <c r="H59" s="79">
        <v>118</v>
      </c>
      <c r="I59" s="79">
        <v>272</v>
      </c>
      <c r="J59" s="79">
        <v>207</v>
      </c>
      <c r="K59" s="79">
        <v>446</v>
      </c>
      <c r="L59" s="79">
        <v>240</v>
      </c>
      <c r="M59" s="79">
        <v>421</v>
      </c>
      <c r="N59" s="79">
        <v>1197</v>
      </c>
    </row>
    <row r="60" spans="2:14" x14ac:dyDescent="0.3">
      <c r="B60" t="s">
        <v>174</v>
      </c>
      <c r="C60" s="79">
        <v>11</v>
      </c>
      <c r="D60" s="79">
        <v>15</v>
      </c>
      <c r="E60" s="79">
        <v>32</v>
      </c>
      <c r="F60" s="79">
        <v>39</v>
      </c>
      <c r="G60" s="79">
        <v>40</v>
      </c>
      <c r="H60" s="79">
        <v>65</v>
      </c>
      <c r="I60" s="79">
        <v>73</v>
      </c>
      <c r="J60" s="79">
        <v>77</v>
      </c>
      <c r="K60" s="79">
        <v>87</v>
      </c>
      <c r="L60" s="79">
        <v>135</v>
      </c>
      <c r="M60" s="79">
        <v>155</v>
      </c>
      <c r="N60" s="79">
        <v>153</v>
      </c>
    </row>
    <row r="61" spans="2:14" x14ac:dyDescent="0.3">
      <c r="B61" t="s">
        <v>175</v>
      </c>
      <c r="C61" s="79">
        <v>71</v>
      </c>
      <c r="D61" s="79">
        <v>69</v>
      </c>
      <c r="E61" s="79">
        <v>74</v>
      </c>
      <c r="F61" s="79">
        <v>38</v>
      </c>
      <c r="G61" s="79">
        <v>40</v>
      </c>
      <c r="H61" s="79">
        <v>27</v>
      </c>
      <c r="I61" s="79">
        <v>8</v>
      </c>
      <c r="J61" s="79">
        <v>15</v>
      </c>
      <c r="K61" s="79">
        <v>56</v>
      </c>
      <c r="L61" s="79">
        <v>129</v>
      </c>
      <c r="M61" s="79">
        <v>136</v>
      </c>
      <c r="N61" s="79">
        <v>118</v>
      </c>
    </row>
    <row r="62" spans="2:14" x14ac:dyDescent="0.3">
      <c r="B62" t="s">
        <v>176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-180</v>
      </c>
      <c r="L62" s="79">
        <v>0</v>
      </c>
      <c r="M62" s="79">
        <v>0</v>
      </c>
      <c r="N62" s="79">
        <v>0</v>
      </c>
    </row>
    <row r="63" spans="2:14" x14ac:dyDescent="0.3">
      <c r="B63" t="s">
        <v>177</v>
      </c>
      <c r="C63" s="79">
        <v>0</v>
      </c>
      <c r="D63" s="79">
        <v>0</v>
      </c>
      <c r="E63" s="79">
        <v>0</v>
      </c>
      <c r="F63" s="79">
        <v>141</v>
      </c>
      <c r="G63" s="79">
        <v>0</v>
      </c>
      <c r="H63" s="79">
        <v>17</v>
      </c>
      <c r="I63" s="79">
        <v>0</v>
      </c>
      <c r="J63" s="79">
        <v>0</v>
      </c>
      <c r="K63" s="79">
        <v>0</v>
      </c>
      <c r="L63" s="79">
        <v>0</v>
      </c>
      <c r="M63" s="79">
        <v>38</v>
      </c>
      <c r="N63" s="79">
        <v>0</v>
      </c>
    </row>
    <row r="64" spans="2:14" x14ac:dyDescent="0.3">
      <c r="B64" t="s">
        <v>178</v>
      </c>
      <c r="C64" s="79">
        <v>0</v>
      </c>
      <c r="D64" s="79">
        <v>0</v>
      </c>
      <c r="E64" s="79">
        <v>0</v>
      </c>
      <c r="F64" s="79">
        <v>-525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</row>
    <row r="65" spans="2:14" x14ac:dyDescent="0.3">
      <c r="B65" t="s">
        <v>179</v>
      </c>
      <c r="C65" s="79">
        <v>-144</v>
      </c>
      <c r="D65" s="79">
        <v>-70</v>
      </c>
      <c r="E65" s="79">
        <v>-324</v>
      </c>
      <c r="F65" s="79">
        <v>118</v>
      </c>
      <c r="G65" s="79">
        <v>-24</v>
      </c>
      <c r="H65" s="79">
        <v>-343</v>
      </c>
      <c r="I65" s="79">
        <v>-493</v>
      </c>
      <c r="J65" s="79">
        <v>-105</v>
      </c>
      <c r="K65" s="79">
        <v>-126</v>
      </c>
      <c r="L65" s="79">
        <v>-350</v>
      </c>
      <c r="M65" s="79">
        <v>130</v>
      </c>
      <c r="N65" s="79">
        <v>-1312</v>
      </c>
    </row>
    <row r="66" spans="2:14" x14ac:dyDescent="0.3">
      <c r="B66" t="s">
        <v>192</v>
      </c>
      <c r="C66" s="79">
        <v>-576</v>
      </c>
      <c r="D66" s="79">
        <v>-849</v>
      </c>
      <c r="E66" s="79">
        <v>-756</v>
      </c>
      <c r="F66" s="79">
        <v>-1379</v>
      </c>
      <c r="G66" s="79">
        <v>-1117</v>
      </c>
      <c r="H66" s="79">
        <v>-2871</v>
      </c>
      <c r="I66" s="79">
        <v>-650</v>
      </c>
      <c r="J66" s="79">
        <v>-1808</v>
      </c>
      <c r="K66" s="79">
        <v>-2140</v>
      </c>
      <c r="L66" s="79">
        <v>-2982</v>
      </c>
      <c r="M66" s="79">
        <v>-3753</v>
      </c>
      <c r="N66" s="79">
        <v>-2377</v>
      </c>
    </row>
    <row r="67" spans="2:14" x14ac:dyDescent="0.3">
      <c r="B67" t="s">
        <v>180</v>
      </c>
      <c r="C67" s="79">
        <v>0</v>
      </c>
      <c r="D67" s="79">
        <v>0</v>
      </c>
      <c r="E67" s="79">
        <v>0</v>
      </c>
      <c r="F67" s="79">
        <v>0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>
        <v>1</v>
      </c>
      <c r="M67" s="79">
        <v>0</v>
      </c>
      <c r="N67" s="79">
        <v>0</v>
      </c>
    </row>
    <row r="68" spans="2:14" x14ac:dyDescent="0.3">
      <c r="B68" t="s">
        <v>181</v>
      </c>
      <c r="C68" s="79">
        <v>239</v>
      </c>
      <c r="D68" s="79">
        <v>8</v>
      </c>
      <c r="E68" s="79">
        <v>271</v>
      </c>
      <c r="F68" s="79">
        <v>10</v>
      </c>
      <c r="G68" s="79">
        <v>243</v>
      </c>
      <c r="H68" s="79">
        <v>18</v>
      </c>
      <c r="I68" s="79">
        <v>155</v>
      </c>
      <c r="J68" s="79">
        <v>418</v>
      </c>
      <c r="K68" s="79">
        <v>254</v>
      </c>
      <c r="L68" s="79">
        <v>101</v>
      </c>
      <c r="M68" s="79">
        <v>415</v>
      </c>
      <c r="N68" s="79">
        <v>1279</v>
      </c>
    </row>
    <row r="69" spans="2:14" x14ac:dyDescent="0.3">
      <c r="B69" t="s">
        <v>182</v>
      </c>
      <c r="C69" s="79">
        <v>-86</v>
      </c>
      <c r="D69" s="79">
        <v>-119</v>
      </c>
      <c r="E69" s="79">
        <v>-58</v>
      </c>
      <c r="F69" s="79">
        <v>-54</v>
      </c>
      <c r="G69" s="79">
        <v>-26</v>
      </c>
      <c r="H69" s="79">
        <v>-482</v>
      </c>
      <c r="I69" s="79">
        <v>-14</v>
      </c>
      <c r="J69" s="79">
        <v>-8</v>
      </c>
      <c r="K69" s="79">
        <v>-25</v>
      </c>
      <c r="L69" s="79">
        <v>-98</v>
      </c>
      <c r="M69" s="79">
        <v>-428</v>
      </c>
      <c r="N69" s="79">
        <v>-452</v>
      </c>
    </row>
    <row r="70" spans="2:14" x14ac:dyDescent="0.3">
      <c r="B70" t="s">
        <v>183</v>
      </c>
      <c r="C70" s="79">
        <v>-35</v>
      </c>
      <c r="D70" s="79">
        <v>-40</v>
      </c>
      <c r="E70" s="79">
        <v>-36</v>
      </c>
      <c r="F70" s="79">
        <v>-35</v>
      </c>
      <c r="G70" s="79">
        <v>-106</v>
      </c>
      <c r="H70" s="79">
        <v>-101</v>
      </c>
      <c r="I70" s="79">
        <v>-89</v>
      </c>
      <c r="J70" s="79">
        <v>-94</v>
      </c>
      <c r="K70" s="79">
        <v>-142</v>
      </c>
      <c r="L70" s="79">
        <v>-191</v>
      </c>
      <c r="M70" s="79">
        <v>-203</v>
      </c>
      <c r="N70" s="79">
        <v>-228</v>
      </c>
    </row>
    <row r="71" spans="2:14" x14ac:dyDescent="0.3">
      <c r="B71" t="s">
        <v>184</v>
      </c>
      <c r="C71" s="79">
        <v>-695</v>
      </c>
      <c r="D71" s="79">
        <v>-764</v>
      </c>
      <c r="E71" s="79">
        <v>-947</v>
      </c>
      <c r="F71" s="79">
        <v>-1218</v>
      </c>
      <c r="G71" s="79">
        <v>-1049</v>
      </c>
      <c r="H71" s="79">
        <v>-2121</v>
      </c>
      <c r="I71" s="79">
        <v>-499</v>
      </c>
      <c r="J71" s="79">
        <v>-1763</v>
      </c>
      <c r="K71" s="79">
        <v>-1936</v>
      </c>
      <c r="L71" s="79">
        <v>-2551</v>
      </c>
      <c r="M71" s="79">
        <v>-3140</v>
      </c>
      <c r="N71" s="79">
        <v>-2425</v>
      </c>
    </row>
    <row r="72" spans="2:14" x14ac:dyDescent="0.3">
      <c r="B72" t="s">
        <v>185</v>
      </c>
      <c r="C72" s="79">
        <v>0</v>
      </c>
      <c r="D72" s="79">
        <v>0</v>
      </c>
      <c r="E72" s="79">
        <v>0</v>
      </c>
      <c r="F72" s="79">
        <v>0</v>
      </c>
      <c r="G72" s="79">
        <v>-180</v>
      </c>
      <c r="H72" s="79">
        <v>-179</v>
      </c>
      <c r="I72" s="79">
        <v>-203</v>
      </c>
      <c r="J72" s="79">
        <v>-221</v>
      </c>
      <c r="K72" s="79">
        <v>-256</v>
      </c>
      <c r="L72" s="79">
        <v>-286</v>
      </c>
      <c r="M72" s="79">
        <v>-325</v>
      </c>
      <c r="N72" s="79">
        <v>-340</v>
      </c>
    </row>
    <row r="73" spans="2:14" x14ac:dyDescent="0.3">
      <c r="B73" t="s">
        <v>186</v>
      </c>
      <c r="C73" s="79">
        <v>0</v>
      </c>
      <c r="D73" s="79">
        <v>66</v>
      </c>
      <c r="E73" s="79">
        <v>13</v>
      </c>
      <c r="F73" s="79">
        <v>-82</v>
      </c>
      <c r="G73" s="79">
        <v>0</v>
      </c>
      <c r="H73" s="79">
        <v>-6</v>
      </c>
      <c r="I73" s="79">
        <v>0</v>
      </c>
      <c r="J73" s="79">
        <v>-140</v>
      </c>
      <c r="K73" s="79">
        <v>-36</v>
      </c>
      <c r="L73" s="79">
        <v>41</v>
      </c>
      <c r="M73" s="79">
        <v>-72</v>
      </c>
      <c r="N73" s="79">
        <v>-210</v>
      </c>
    </row>
    <row r="74" spans="2:14" x14ac:dyDescent="0.3">
      <c r="B74" t="s">
        <v>187</v>
      </c>
      <c r="C74" s="79">
        <v>147</v>
      </c>
      <c r="D74" s="79">
        <v>528</v>
      </c>
      <c r="E74" s="79">
        <v>90</v>
      </c>
      <c r="F74" s="79">
        <v>-822</v>
      </c>
      <c r="G74" s="79">
        <v>434</v>
      </c>
      <c r="H74" s="79">
        <v>-351</v>
      </c>
      <c r="I74" s="79">
        <v>2492</v>
      </c>
      <c r="J74" s="79">
        <v>-1138</v>
      </c>
      <c r="K74" s="79">
        <v>771</v>
      </c>
      <c r="L74" s="79">
        <v>573</v>
      </c>
      <c r="M74" s="79">
        <v>-270</v>
      </c>
      <c r="N74" s="79">
        <v>3383</v>
      </c>
    </row>
    <row r="75" spans="2:14" x14ac:dyDescent="0.3">
      <c r="B75" t="s">
        <v>188</v>
      </c>
      <c r="C75" s="79">
        <v>750</v>
      </c>
      <c r="D75" s="79">
        <v>1441</v>
      </c>
      <c r="E75" s="79">
        <v>860</v>
      </c>
      <c r="F75" s="79">
        <v>705</v>
      </c>
      <c r="G75" s="79">
        <v>1336</v>
      </c>
      <c r="H75" s="79">
        <v>2661</v>
      </c>
      <c r="I75" s="79">
        <v>3422</v>
      </c>
      <c r="J75" s="79">
        <v>475</v>
      </c>
      <c r="K75" s="79">
        <v>2774</v>
      </c>
      <c r="L75" s="79">
        <v>3613</v>
      </c>
      <c r="M75" s="79">
        <v>2604</v>
      </c>
      <c r="N75" s="79">
        <v>5604</v>
      </c>
    </row>
    <row r="76" spans="2:14" x14ac:dyDescent="0.3">
      <c r="B76" t="s">
        <v>189</v>
      </c>
      <c r="C76" s="79">
        <v>0.81</v>
      </c>
      <c r="D76" s="79">
        <v>1.1200000000000001</v>
      </c>
      <c r="E76" s="79">
        <v>0.82</v>
      </c>
      <c r="F76" s="79">
        <v>1</v>
      </c>
      <c r="G76" s="79">
        <v>0.92</v>
      </c>
      <c r="H76" s="79">
        <v>0.97</v>
      </c>
      <c r="I76" s="79">
        <v>0.98</v>
      </c>
      <c r="J76" s="79">
        <v>0.45</v>
      </c>
      <c r="K76" s="79">
        <v>0.91</v>
      </c>
      <c r="L76" s="79">
        <v>1.05</v>
      </c>
      <c r="M76" s="79">
        <v>0.97</v>
      </c>
      <c r="N76" s="79">
        <v>1.29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CD82-B421-459D-B514-E8072DCBDB25}">
  <dimension ref="B1:L93"/>
  <sheetViews>
    <sheetView topLeftCell="B1" workbookViewId="0">
      <selection activeCell="H33" sqref="H33"/>
    </sheetView>
  </sheetViews>
  <sheetFormatPr defaultColWidth="8.77734375" defaultRowHeight="14.4" x14ac:dyDescent="0.3"/>
  <cols>
    <col min="1" max="1" width="1.88671875" style="104" customWidth="1"/>
    <col min="2" max="2" width="27.6640625" style="104" bestFit="1" customWidth="1"/>
    <col min="3" max="12" width="13.44140625" style="104" bestFit="1" customWidth="1"/>
    <col min="13" max="16384" width="8.77734375" style="104"/>
  </cols>
  <sheetData>
    <row r="1" spans="2:12" s="72" customFormat="1" x14ac:dyDescent="0.3">
      <c r="B1" s="72" t="s">
        <v>254</v>
      </c>
      <c r="C1" s="72" t="s">
        <v>253</v>
      </c>
      <c r="F1" s="112" t="str">
        <f>IF(C2&lt;&gt;C3, "A NEW VERSION OF THE WORKSHEET IS AVAILABLE", "")</f>
        <v/>
      </c>
      <c r="G1" s="112"/>
      <c r="H1" s="112"/>
      <c r="I1" s="112"/>
      <c r="J1" s="112"/>
      <c r="K1" s="112"/>
      <c r="L1" s="112"/>
    </row>
    <row r="2" spans="2:12" x14ac:dyDescent="0.3">
      <c r="B2" s="72" t="s">
        <v>252</v>
      </c>
      <c r="C2" s="104">
        <v>2.1</v>
      </c>
      <c r="F2" s="113" t="s">
        <v>251</v>
      </c>
      <c r="G2" s="113"/>
      <c r="H2" s="113"/>
      <c r="I2" s="113"/>
      <c r="J2" s="113"/>
      <c r="K2" s="113"/>
      <c r="L2" s="113"/>
    </row>
    <row r="3" spans="2:12" x14ac:dyDescent="0.3">
      <c r="B3" s="72" t="s">
        <v>250</v>
      </c>
      <c r="C3" s="104">
        <v>2.1</v>
      </c>
    </row>
    <row r="4" spans="2:12" x14ac:dyDescent="0.3">
      <c r="B4" s="72"/>
    </row>
    <row r="5" spans="2:12" x14ac:dyDescent="0.3">
      <c r="B5" s="72" t="s">
        <v>249</v>
      </c>
    </row>
    <row r="6" spans="2:12" x14ac:dyDescent="0.3">
      <c r="B6" s="104" t="s">
        <v>248</v>
      </c>
      <c r="C6" s="104">
        <f>IF(C9&gt;0, C9/C8, 0)</f>
        <v>95.919780587579027</v>
      </c>
    </row>
    <row r="7" spans="2:12" x14ac:dyDescent="0.3">
      <c r="B7" s="104" t="s">
        <v>247</v>
      </c>
      <c r="C7">
        <v>1</v>
      </c>
    </row>
    <row r="8" spans="2:12" x14ac:dyDescent="0.3">
      <c r="B8" s="104" t="s">
        <v>246</v>
      </c>
      <c r="C8">
        <v>2689</v>
      </c>
    </row>
    <row r="9" spans="2:12" x14ac:dyDescent="0.3">
      <c r="B9" s="104" t="s">
        <v>81</v>
      </c>
      <c r="C9">
        <v>257928.29</v>
      </c>
    </row>
    <row r="15" spans="2:12" x14ac:dyDescent="0.3">
      <c r="B15" s="72" t="s">
        <v>245</v>
      </c>
    </row>
    <row r="16" spans="2:12" s="105" customFormat="1" x14ac:dyDescent="0.3">
      <c r="B16" s="106" t="s">
        <v>224</v>
      </c>
      <c r="C16" s="71">
        <v>42825</v>
      </c>
      <c r="D16" s="71">
        <v>43190</v>
      </c>
      <c r="E16" s="71">
        <v>43555</v>
      </c>
      <c r="F16" s="71">
        <v>43921</v>
      </c>
      <c r="G16" s="71">
        <v>44286</v>
      </c>
      <c r="H16" s="71">
        <v>44651</v>
      </c>
      <c r="I16" s="71">
        <v>45016</v>
      </c>
      <c r="J16" s="71">
        <v>45382</v>
      </c>
      <c r="K16" s="71">
        <v>45747</v>
      </c>
      <c r="L16" s="71">
        <v>46112</v>
      </c>
    </row>
    <row r="17" spans="2:12" s="73" customFormat="1" x14ac:dyDescent="0.3">
      <c r="B17" s="73" t="s">
        <v>145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  <c r="L17">
        <v>35583.54</v>
      </c>
    </row>
    <row r="18" spans="2:12" s="73" customFormat="1" x14ac:dyDescent="0.3">
      <c r="B18" s="104" t="s">
        <v>244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  <c r="L18">
        <v>17142.009999999998</v>
      </c>
    </row>
    <row r="19" spans="2:12" s="73" customFormat="1" x14ac:dyDescent="0.3">
      <c r="B19" s="104" t="s">
        <v>243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  <c r="L19">
        <v>-603.67999999999995</v>
      </c>
    </row>
    <row r="20" spans="2:12" s="73" customFormat="1" x14ac:dyDescent="0.3">
      <c r="B20" s="104" t="s">
        <v>242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  <c r="L20">
        <v>167.1</v>
      </c>
    </row>
    <row r="21" spans="2:12" s="73" customFormat="1" x14ac:dyDescent="0.3">
      <c r="B21" s="104" t="s">
        <v>241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  <c r="L21">
        <v>2767.11</v>
      </c>
    </row>
    <row r="22" spans="2:12" s="73" customFormat="1" x14ac:dyDescent="0.3">
      <c r="B22" s="104" t="s">
        <v>240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  <c r="L22">
        <v>2809.73</v>
      </c>
    </row>
    <row r="23" spans="2:12" s="73" customFormat="1" x14ac:dyDescent="0.3">
      <c r="B23" s="104" t="s">
        <v>239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  <c r="L23">
        <v>4112.07</v>
      </c>
    </row>
    <row r="24" spans="2:12" s="73" customFormat="1" x14ac:dyDescent="0.3">
      <c r="B24" s="104" t="s">
        <v>238</v>
      </c>
      <c r="C24">
        <v>-2028.47</v>
      </c>
      <c r="D24">
        <v>171.45</v>
      </c>
      <c r="E24">
        <v>202.51</v>
      </c>
      <c r="F24">
        <v>579.95000000000005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  <c r="L24">
        <v>1282.1099999999999</v>
      </c>
    </row>
    <row r="25" spans="2:12" s="73" customFormat="1" x14ac:dyDescent="0.3">
      <c r="B25" s="73" t="s">
        <v>148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  <c r="L25">
        <v>727.97</v>
      </c>
    </row>
    <row r="26" spans="2:12" s="73" customFormat="1" x14ac:dyDescent="0.3">
      <c r="B26" s="73" t="s">
        <v>149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  <c r="L26">
        <v>1228.8499999999999</v>
      </c>
    </row>
    <row r="27" spans="2:12" s="73" customFormat="1" x14ac:dyDescent="0.3">
      <c r="B27" s="73" t="s">
        <v>150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  <c r="L27">
        <v>195.41</v>
      </c>
    </row>
    <row r="28" spans="2:12" s="73" customFormat="1" x14ac:dyDescent="0.3">
      <c r="B28" s="73" t="s">
        <v>151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  <c r="L28">
        <v>6003.44</v>
      </c>
    </row>
    <row r="29" spans="2:12" s="73" customFormat="1" x14ac:dyDescent="0.3">
      <c r="B29" s="73" t="s">
        <v>152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  <c r="L29">
        <v>1608.75</v>
      </c>
    </row>
    <row r="30" spans="2:12" s="73" customFormat="1" x14ac:dyDescent="0.3">
      <c r="B30" s="73" t="s">
        <v>153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  <c r="L30">
        <v>4325.3500000000004</v>
      </c>
    </row>
    <row r="31" spans="2:12" s="73" customFormat="1" x14ac:dyDescent="0.3">
      <c r="B31" s="73" t="s">
        <v>237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  <c r="L31">
        <v>2637.8</v>
      </c>
    </row>
    <row r="32" spans="2:12" s="73" customFormat="1" x14ac:dyDescent="0.3"/>
    <row r="33" spans="2:12" x14ac:dyDescent="0.3">
      <c r="B33" s="72" t="s">
        <v>154</v>
      </c>
      <c r="C33" s="72">
        <f>C30+C29+C27</f>
        <v>2920.05</v>
      </c>
      <c r="D33" s="72">
        <f t="shared" ref="D33:L33" si="0">D30+D29+D27</f>
        <v>3121.36</v>
      </c>
      <c r="E33" s="72">
        <f t="shared" si="0"/>
        <v>3364.45</v>
      </c>
      <c r="F33" s="72">
        <f t="shared" si="0"/>
        <v>3662.35</v>
      </c>
      <c r="G33" s="72">
        <f t="shared" si="0"/>
        <v>4328.5199999999995</v>
      </c>
      <c r="H33" s="72">
        <f t="shared" si="0"/>
        <v>4228.8900000000003</v>
      </c>
      <c r="I33" s="72">
        <f t="shared" si="0"/>
        <v>5744.4</v>
      </c>
      <c r="J33" s="72">
        <f t="shared" si="0"/>
        <v>7455.48</v>
      </c>
      <c r="K33" s="72">
        <f t="shared" si="0"/>
        <v>5287.6100000000006</v>
      </c>
      <c r="L33" s="72">
        <f t="shared" si="0"/>
        <v>6129.51</v>
      </c>
    </row>
    <row r="34" spans="2:12" x14ac:dyDescent="0.3">
      <c r="B34" s="73"/>
    </row>
    <row r="35" spans="2:12" x14ac:dyDescent="0.3">
      <c r="B35" s="73"/>
    </row>
    <row r="36" spans="2:12" x14ac:dyDescent="0.3">
      <c r="B36" s="73"/>
    </row>
    <row r="37" spans="2:12" x14ac:dyDescent="0.3">
      <c r="B37" s="73"/>
    </row>
    <row r="38" spans="2:12" x14ac:dyDescent="0.3">
      <c r="B38" s="73"/>
    </row>
    <row r="39" spans="2:12" x14ac:dyDescent="0.3">
      <c r="B39" s="73"/>
    </row>
    <row r="40" spans="2:12" x14ac:dyDescent="0.3">
      <c r="B40" s="72" t="s">
        <v>236</v>
      </c>
    </row>
    <row r="41" spans="2:12" s="105" customFormat="1" x14ac:dyDescent="0.3">
      <c r="B41" s="106" t="s">
        <v>224</v>
      </c>
      <c r="C41" s="71">
        <v>45291</v>
      </c>
      <c r="D41" s="71">
        <v>45382</v>
      </c>
      <c r="E41" s="71">
        <v>45473</v>
      </c>
      <c r="F41" s="71">
        <v>45565</v>
      </c>
      <c r="G41" s="71">
        <v>45657</v>
      </c>
      <c r="H41" s="71">
        <v>45747</v>
      </c>
      <c r="I41" s="71">
        <v>45838</v>
      </c>
      <c r="J41" s="71">
        <v>45930</v>
      </c>
      <c r="K41" s="71">
        <v>46022</v>
      </c>
      <c r="L41" s="71">
        <v>46112</v>
      </c>
    </row>
    <row r="42" spans="2:12" s="73" customFormat="1" x14ac:dyDescent="0.3">
      <c r="B42" s="73" t="s">
        <v>145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  <c r="L42">
        <v>9246.7000000000007</v>
      </c>
    </row>
    <row r="43" spans="2:12" s="73" customFormat="1" x14ac:dyDescent="0.3">
      <c r="B43" s="73" t="s">
        <v>146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  <c r="L43">
        <v>7460.09</v>
      </c>
    </row>
    <row r="44" spans="2:12" s="73" customFormat="1" x14ac:dyDescent="0.3">
      <c r="B44" s="73" t="s">
        <v>148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  <c r="L44">
        <v>196.59</v>
      </c>
    </row>
    <row r="45" spans="2:12" s="73" customFormat="1" x14ac:dyDescent="0.3">
      <c r="B45" s="73" t="s">
        <v>149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  <c r="L45">
        <v>309.98</v>
      </c>
    </row>
    <row r="46" spans="2:12" s="73" customFormat="1" x14ac:dyDescent="0.3">
      <c r="B46" s="73" t="s">
        <v>150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  <c r="L46">
        <v>59.1</v>
      </c>
    </row>
    <row r="47" spans="2:12" s="73" customFormat="1" x14ac:dyDescent="0.3">
      <c r="B47" s="73" t="s">
        <v>151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  <c r="L47">
        <v>1614.12</v>
      </c>
    </row>
    <row r="48" spans="2:12" s="73" customFormat="1" x14ac:dyDescent="0.3">
      <c r="B48" s="73" t="s">
        <v>152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  <c r="L48">
        <v>428.63</v>
      </c>
    </row>
    <row r="49" spans="2:12" s="73" customFormat="1" x14ac:dyDescent="0.3">
      <c r="B49" s="73" t="s">
        <v>153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  <c r="L49">
        <v>1172.1199999999999</v>
      </c>
    </row>
    <row r="50" spans="2:12" x14ac:dyDescent="0.3">
      <c r="B50" s="73" t="s">
        <v>147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  <c r="L50">
        <v>1786.61</v>
      </c>
    </row>
    <row r="51" spans="2:12" x14ac:dyDescent="0.3">
      <c r="B51" s="73"/>
    </row>
    <row r="52" spans="2:12" x14ac:dyDescent="0.3">
      <c r="B52" s="73"/>
    </row>
    <row r="53" spans="2:12" x14ac:dyDescent="0.3">
      <c r="B53" s="73"/>
    </row>
    <row r="54" spans="2:12" x14ac:dyDescent="0.3">
      <c r="B54" s="73"/>
    </row>
    <row r="55" spans="2:12" x14ac:dyDescent="0.3">
      <c r="B55" s="72" t="s">
        <v>235</v>
      </c>
    </row>
    <row r="56" spans="2:12" s="105" customFormat="1" x14ac:dyDescent="0.3">
      <c r="B56" s="106" t="s">
        <v>224</v>
      </c>
      <c r="C56" s="71">
        <v>42825</v>
      </c>
      <c r="D56" s="71">
        <v>43190</v>
      </c>
      <c r="E56" s="71">
        <v>43555</v>
      </c>
      <c r="F56" s="71">
        <v>43921</v>
      </c>
      <c r="G56" s="71">
        <v>44286</v>
      </c>
      <c r="H56" s="71">
        <v>44651</v>
      </c>
      <c r="I56" s="71">
        <v>45016</v>
      </c>
      <c r="J56" s="71">
        <v>45382</v>
      </c>
      <c r="K56" s="71">
        <v>45747</v>
      </c>
      <c r="L56" s="71">
        <v>46112</v>
      </c>
    </row>
    <row r="57" spans="2:12" x14ac:dyDescent="0.3">
      <c r="B57" s="73" t="s">
        <v>234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  <c r="L57">
        <v>95.92</v>
      </c>
    </row>
    <row r="58" spans="2:12" x14ac:dyDescent="0.3">
      <c r="B58" s="73" t="s">
        <v>101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  <c r="L58">
        <v>21275.67</v>
      </c>
    </row>
    <row r="59" spans="2:12" x14ac:dyDescent="0.3">
      <c r="B59" s="73" t="s">
        <v>233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  <c r="L59">
        <v>3928.93</v>
      </c>
    </row>
    <row r="60" spans="2:12" x14ac:dyDescent="0.3">
      <c r="B60" s="73" t="s">
        <v>232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  <c r="L60">
        <v>9218.23</v>
      </c>
    </row>
    <row r="61" spans="2:12" s="72" customFormat="1" x14ac:dyDescent="0.3">
      <c r="B61" s="72" t="s">
        <v>46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  <c r="L61">
        <v>34518.75</v>
      </c>
    </row>
    <row r="62" spans="2:12" x14ac:dyDescent="0.3">
      <c r="B62" s="73" t="s">
        <v>129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  <c r="L62">
        <v>9640.2800000000007</v>
      </c>
    </row>
    <row r="63" spans="2:12" x14ac:dyDescent="0.3">
      <c r="B63" s="73" t="s">
        <v>231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  <c r="L63">
        <v>1848.67</v>
      </c>
    </row>
    <row r="64" spans="2:12" x14ac:dyDescent="0.3">
      <c r="B64" s="73" t="s">
        <v>122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  <c r="L64">
        <v>7061.74</v>
      </c>
    </row>
    <row r="65" spans="2:12" x14ac:dyDescent="0.3">
      <c r="B65" s="73" t="s">
        <v>230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  <c r="L65">
        <v>15968.06</v>
      </c>
    </row>
    <row r="66" spans="2:12" s="72" customFormat="1" x14ac:dyDescent="0.3">
      <c r="B66" s="72" t="s">
        <v>46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  <c r="L66">
        <v>34518.75</v>
      </c>
    </row>
    <row r="67" spans="2:12" s="73" customFormat="1" x14ac:dyDescent="0.3">
      <c r="B67" s="73" t="s">
        <v>164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  <c r="L67">
        <v>4461.8</v>
      </c>
    </row>
    <row r="68" spans="2:12" x14ac:dyDescent="0.3">
      <c r="B68" s="73" t="s">
        <v>165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  <c r="L68">
        <v>5743.69</v>
      </c>
    </row>
    <row r="69" spans="2:12" x14ac:dyDescent="0.3">
      <c r="B69" s="104" t="s">
        <v>229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  <c r="L69">
        <v>1073.68</v>
      </c>
    </row>
    <row r="70" spans="2:12" x14ac:dyDescent="0.3">
      <c r="B70" s="104" t="s">
        <v>228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  <c r="L70">
        <v>959197790</v>
      </c>
    </row>
    <row r="71" spans="2:12" x14ac:dyDescent="0.3">
      <c r="B71" s="104" t="s">
        <v>227</v>
      </c>
    </row>
    <row r="72" spans="2:12" x14ac:dyDescent="0.3">
      <c r="B72" s="104" t="s">
        <v>226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4" spans="2:12" x14ac:dyDescent="0.3">
      <c r="B74" s="73"/>
    </row>
    <row r="75" spans="2:12" x14ac:dyDescent="0.3">
      <c r="B75" s="73"/>
    </row>
    <row r="76" spans="2:12" x14ac:dyDescent="0.3">
      <c r="B76" s="73"/>
    </row>
    <row r="77" spans="2:12" x14ac:dyDescent="0.3">
      <c r="B77" s="73"/>
    </row>
    <row r="78" spans="2:12" x14ac:dyDescent="0.3">
      <c r="B78" s="73"/>
    </row>
    <row r="79" spans="2:12" x14ac:dyDescent="0.3">
      <c r="B79" s="73"/>
    </row>
    <row r="80" spans="2:12" x14ac:dyDescent="0.3">
      <c r="B80" s="72" t="s">
        <v>225</v>
      </c>
    </row>
    <row r="81" spans="2:12" s="105" customFormat="1" x14ac:dyDescent="0.3">
      <c r="B81" s="106" t="s">
        <v>224</v>
      </c>
      <c r="C81" s="71">
        <v>42825</v>
      </c>
      <c r="D81" s="71">
        <v>43190</v>
      </c>
      <c r="E81" s="71">
        <v>43555</v>
      </c>
      <c r="F81" s="71">
        <v>43921</v>
      </c>
      <c r="G81" s="71">
        <v>44286</v>
      </c>
      <c r="H81" s="71">
        <v>44651</v>
      </c>
      <c r="I81" s="71">
        <v>45016</v>
      </c>
      <c r="J81" s="71">
        <v>45382</v>
      </c>
      <c r="K81" s="71">
        <v>45747</v>
      </c>
      <c r="L81" s="71">
        <v>46112</v>
      </c>
    </row>
    <row r="82" spans="2:12" s="72" customFormat="1" x14ac:dyDescent="0.3">
      <c r="B82" s="73" t="s">
        <v>223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  <c r="L82">
        <v>7088.18</v>
      </c>
    </row>
    <row r="83" spans="2:12" s="73" customFormat="1" x14ac:dyDescent="0.3">
      <c r="B83" s="73" t="s">
        <v>222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  <c r="L83">
        <v>-1328.23</v>
      </c>
    </row>
    <row r="84" spans="2:12" s="73" customFormat="1" x14ac:dyDescent="0.3">
      <c r="B84" s="73" t="s">
        <v>221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  <c r="L84">
        <v>-2376.5100000000002</v>
      </c>
    </row>
    <row r="85" spans="2:12" s="72" customFormat="1" x14ac:dyDescent="0.3">
      <c r="B85" s="73" t="s">
        <v>187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  <c r="L85">
        <v>3383.44</v>
      </c>
    </row>
    <row r="86" spans="2:12" x14ac:dyDescent="0.3">
      <c r="B86" s="73"/>
    </row>
    <row r="87" spans="2:12" x14ac:dyDescent="0.3">
      <c r="B87" s="73"/>
    </row>
    <row r="88" spans="2:12" x14ac:dyDescent="0.3">
      <c r="B88" s="73"/>
    </row>
    <row r="89" spans="2:12" x14ac:dyDescent="0.3">
      <c r="B89" s="73"/>
    </row>
    <row r="90" spans="2:12" s="72" customFormat="1" x14ac:dyDescent="0.3">
      <c r="B90" s="72" t="s">
        <v>220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  <c r="L90">
        <v>2165.1999999999998</v>
      </c>
    </row>
    <row r="92" spans="2:12" s="72" customFormat="1" x14ac:dyDescent="0.3">
      <c r="B92" s="72" t="s">
        <v>219</v>
      </c>
    </row>
    <row r="93" spans="2:12" x14ac:dyDescent="0.3">
      <c r="B93" s="104" t="s">
        <v>218</v>
      </c>
      <c r="C93" s="104">
        <v>95.92</v>
      </c>
      <c r="D93" s="104">
        <v>95.92</v>
      </c>
      <c r="E93" s="104">
        <v>95.92</v>
      </c>
      <c r="F93" s="104">
        <v>95.92</v>
      </c>
      <c r="G93" s="104">
        <v>95.92</v>
      </c>
      <c r="H93" s="104">
        <v>95.92</v>
      </c>
      <c r="I93" s="104">
        <v>95.92</v>
      </c>
      <c r="J93" s="104">
        <v>95.92</v>
      </c>
      <c r="K93" s="104">
        <v>95.92</v>
      </c>
      <c r="L93" s="104">
        <v>95.92</v>
      </c>
    </row>
  </sheetData>
  <mergeCells count="2">
    <mergeCell ref="F1:L1"/>
    <mergeCell ref="F2:L2"/>
  </mergeCells>
  <conditionalFormatting sqref="F1:L1">
    <cfRule type="cellIs" dxfId="0" priority="1" operator="notEqual">
      <formula>""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A207-4B4D-42A4-9CAF-963E8A1EB869}">
  <dimension ref="B3:K110"/>
  <sheetViews>
    <sheetView showGridLines="0" workbookViewId="0">
      <selection activeCell="L19" sqref="L19"/>
    </sheetView>
  </sheetViews>
  <sheetFormatPr defaultRowHeight="14.4" x14ac:dyDescent="0.3"/>
  <cols>
    <col min="1" max="1" width="1.88671875" customWidth="1"/>
    <col min="2" max="2" width="11.44140625" bestFit="1" customWidth="1"/>
    <col min="6" max="6" width="11.44140625" bestFit="1" customWidth="1"/>
  </cols>
  <sheetData>
    <row r="3" spans="2:11" x14ac:dyDescent="0.3">
      <c r="B3" t="s">
        <v>28</v>
      </c>
      <c r="F3" t="s">
        <v>29</v>
      </c>
      <c r="J3" t="s">
        <v>93</v>
      </c>
    </row>
    <row r="5" spans="2:11" x14ac:dyDescent="0.3">
      <c r="B5" s="23" t="s">
        <v>26</v>
      </c>
      <c r="C5" t="s">
        <v>27</v>
      </c>
      <c r="F5" s="23" t="s">
        <v>26</v>
      </c>
      <c r="G5" t="s">
        <v>27</v>
      </c>
      <c r="J5" t="s">
        <v>94</v>
      </c>
      <c r="K5" t="s">
        <v>95</v>
      </c>
    </row>
    <row r="6" spans="2:11" x14ac:dyDescent="0.3">
      <c r="B6" s="23">
        <v>45383</v>
      </c>
      <c r="C6" s="22">
        <v>2796.21</v>
      </c>
      <c r="F6" s="23">
        <v>45383</v>
      </c>
      <c r="G6" s="22">
        <v>22513.7</v>
      </c>
      <c r="J6">
        <v>2000</v>
      </c>
      <c r="K6" s="33">
        <v>-0.14649999999999999</v>
      </c>
    </row>
    <row r="7" spans="2:11" x14ac:dyDescent="0.3">
      <c r="B7" s="23">
        <v>45390</v>
      </c>
      <c r="C7" s="22">
        <v>2768.13</v>
      </c>
      <c r="F7" s="23">
        <v>45390</v>
      </c>
      <c r="G7" s="22">
        <v>22519.4</v>
      </c>
      <c r="J7">
        <v>2001</v>
      </c>
      <c r="K7" s="33">
        <v>-0.1618</v>
      </c>
    </row>
    <row r="8" spans="2:11" x14ac:dyDescent="0.3">
      <c r="B8" s="23">
        <v>45397</v>
      </c>
      <c r="C8" s="22">
        <v>2723.57</v>
      </c>
      <c r="F8" s="23">
        <v>45397</v>
      </c>
      <c r="G8" s="22">
        <v>22147</v>
      </c>
      <c r="J8">
        <v>2002</v>
      </c>
      <c r="K8" s="33">
        <v>3.2500000000000001E-2</v>
      </c>
    </row>
    <row r="9" spans="2:11" x14ac:dyDescent="0.3">
      <c r="B9" s="23">
        <v>45404</v>
      </c>
      <c r="C9" s="22">
        <v>2758.1</v>
      </c>
      <c r="F9" s="23">
        <v>45404</v>
      </c>
      <c r="G9" s="22">
        <v>22419.95</v>
      </c>
      <c r="J9">
        <v>2003</v>
      </c>
      <c r="K9" s="33">
        <v>0.71900000000000008</v>
      </c>
    </row>
    <row r="10" spans="2:11" x14ac:dyDescent="0.3">
      <c r="B10" s="23">
        <v>45411</v>
      </c>
      <c r="C10" s="22">
        <v>2841.11</v>
      </c>
      <c r="F10" s="23">
        <v>45411</v>
      </c>
      <c r="G10" s="22">
        <v>22475.85</v>
      </c>
      <c r="J10">
        <v>2004</v>
      </c>
      <c r="K10" s="33">
        <v>0.10679999999999999</v>
      </c>
    </row>
    <row r="11" spans="2:11" x14ac:dyDescent="0.3">
      <c r="B11" s="23">
        <v>45418</v>
      </c>
      <c r="C11" s="22">
        <v>2687.4</v>
      </c>
      <c r="F11" s="23">
        <v>45418</v>
      </c>
      <c r="G11" s="22">
        <v>22055.200000000001</v>
      </c>
      <c r="J11">
        <v>2005</v>
      </c>
      <c r="K11" s="33">
        <v>0.36340000000000006</v>
      </c>
    </row>
    <row r="12" spans="2:11" x14ac:dyDescent="0.3">
      <c r="B12" s="23">
        <v>45425</v>
      </c>
      <c r="C12" s="22">
        <v>2731.14</v>
      </c>
      <c r="F12" s="23">
        <v>45425</v>
      </c>
      <c r="G12" s="22">
        <v>22466.1</v>
      </c>
      <c r="J12">
        <v>2006</v>
      </c>
      <c r="K12" s="33">
        <v>0.39829999999999999</v>
      </c>
    </row>
    <row r="13" spans="2:11" x14ac:dyDescent="0.3">
      <c r="B13" s="23">
        <v>45432</v>
      </c>
      <c r="C13" s="22">
        <v>2787.77</v>
      </c>
      <c r="F13" s="23">
        <v>45432</v>
      </c>
      <c r="G13" s="22">
        <v>22957.1</v>
      </c>
      <c r="J13">
        <v>2007</v>
      </c>
      <c r="K13" s="33">
        <v>0.54770000000000008</v>
      </c>
    </row>
    <row r="14" spans="2:11" x14ac:dyDescent="0.3">
      <c r="B14" s="23">
        <v>45439</v>
      </c>
      <c r="C14" s="22">
        <v>2794.03</v>
      </c>
      <c r="F14" s="23">
        <v>45439</v>
      </c>
      <c r="G14" s="22">
        <v>22530.7</v>
      </c>
      <c r="J14">
        <v>2008</v>
      </c>
      <c r="K14" s="33">
        <v>-0.51790000000000003</v>
      </c>
    </row>
    <row r="15" spans="2:11" x14ac:dyDescent="0.3">
      <c r="B15" s="23">
        <v>45446</v>
      </c>
      <c r="C15" s="22">
        <v>2839.12</v>
      </c>
      <c r="F15" s="23">
        <v>45446</v>
      </c>
      <c r="G15" s="22">
        <v>23290.15</v>
      </c>
      <c r="J15">
        <v>2009</v>
      </c>
      <c r="K15" s="33">
        <v>0.75760000000000005</v>
      </c>
    </row>
    <row r="16" spans="2:11" x14ac:dyDescent="0.3">
      <c r="B16" s="23">
        <v>45453</v>
      </c>
      <c r="C16" s="22">
        <v>2860.62</v>
      </c>
      <c r="F16" s="23">
        <v>45453</v>
      </c>
      <c r="G16" s="22">
        <v>23465.599999999999</v>
      </c>
      <c r="J16">
        <v>2010</v>
      </c>
      <c r="K16" s="33">
        <v>0.17949999999999999</v>
      </c>
    </row>
    <row r="17" spans="2:11" x14ac:dyDescent="0.3">
      <c r="B17" s="23">
        <v>45460</v>
      </c>
      <c r="C17" s="22">
        <v>2830.51</v>
      </c>
      <c r="F17" s="23">
        <v>45460</v>
      </c>
      <c r="G17" s="22">
        <v>23501.1</v>
      </c>
      <c r="J17">
        <v>2011</v>
      </c>
      <c r="K17" s="33">
        <v>-0.2462</v>
      </c>
    </row>
    <row r="18" spans="2:11" x14ac:dyDescent="0.3">
      <c r="B18" s="23">
        <v>45467</v>
      </c>
      <c r="C18" s="22">
        <v>2856.16</v>
      </c>
      <c r="F18" s="23">
        <v>45467</v>
      </c>
      <c r="G18" s="22">
        <v>24010.6</v>
      </c>
      <c r="J18">
        <v>2012</v>
      </c>
      <c r="K18" s="33">
        <v>0.27699999999999997</v>
      </c>
    </row>
    <row r="19" spans="2:11" x14ac:dyDescent="0.3">
      <c r="B19" s="23">
        <v>45474</v>
      </c>
      <c r="C19" s="22">
        <v>2874.62</v>
      </c>
      <c r="F19" s="23">
        <v>45474</v>
      </c>
      <c r="G19" s="22">
        <v>24323.85</v>
      </c>
      <c r="J19">
        <v>2013</v>
      </c>
      <c r="K19" s="33">
        <v>6.7599999999999993E-2</v>
      </c>
    </row>
    <row r="20" spans="2:11" x14ac:dyDescent="0.3">
      <c r="B20" s="23">
        <v>45481</v>
      </c>
      <c r="C20" s="22">
        <v>2936.55</v>
      </c>
      <c r="F20" s="23">
        <v>45481</v>
      </c>
      <c r="G20" s="22">
        <v>24502.15</v>
      </c>
      <c r="J20">
        <v>2014</v>
      </c>
      <c r="K20" s="33">
        <v>0.31390000000000001</v>
      </c>
    </row>
    <row r="21" spans="2:11" x14ac:dyDescent="0.3">
      <c r="B21" s="23">
        <v>45488</v>
      </c>
      <c r="C21" s="22">
        <v>2884.56</v>
      </c>
      <c r="F21" s="23">
        <v>45488</v>
      </c>
      <c r="G21" s="22">
        <v>24530.9</v>
      </c>
      <c r="J21">
        <v>2015</v>
      </c>
      <c r="K21" s="33">
        <v>-4.0599999999999997E-2</v>
      </c>
    </row>
    <row r="22" spans="2:11" x14ac:dyDescent="0.3">
      <c r="B22" s="23">
        <v>45495</v>
      </c>
      <c r="C22" s="22">
        <v>2888.57</v>
      </c>
      <c r="F22" s="23">
        <v>45495</v>
      </c>
      <c r="G22" s="22">
        <v>24834.85</v>
      </c>
      <c r="J22">
        <v>2016</v>
      </c>
      <c r="K22" s="33">
        <v>3.0099999999999998E-2</v>
      </c>
    </row>
    <row r="23" spans="2:11" x14ac:dyDescent="0.3">
      <c r="B23" s="23">
        <v>45502</v>
      </c>
      <c r="C23" s="22">
        <v>3041.85</v>
      </c>
      <c r="F23" s="23">
        <v>45502</v>
      </c>
      <c r="G23" s="22">
        <v>24717.7</v>
      </c>
      <c r="J23">
        <v>2017</v>
      </c>
      <c r="K23" s="33">
        <v>0.28649999999999998</v>
      </c>
    </row>
    <row r="24" spans="2:11" x14ac:dyDescent="0.3">
      <c r="B24" s="23">
        <v>45509</v>
      </c>
      <c r="C24" s="22">
        <v>2977.13</v>
      </c>
      <c r="F24" s="23">
        <v>45509</v>
      </c>
      <c r="G24" s="22">
        <v>24367.5</v>
      </c>
      <c r="J24">
        <v>2018</v>
      </c>
      <c r="K24" s="33">
        <v>3.15E-2</v>
      </c>
    </row>
    <row r="25" spans="2:11" x14ac:dyDescent="0.3">
      <c r="B25" s="23">
        <v>45516</v>
      </c>
      <c r="C25" s="22">
        <v>2984.52</v>
      </c>
      <c r="F25" s="23">
        <v>45516</v>
      </c>
      <c r="G25" s="22">
        <v>24541.15</v>
      </c>
      <c r="J25">
        <v>2019</v>
      </c>
      <c r="K25" s="33">
        <v>0.1202</v>
      </c>
    </row>
    <row r="26" spans="2:11" x14ac:dyDescent="0.3">
      <c r="B26" s="23">
        <v>45523</v>
      </c>
      <c r="C26" s="22">
        <v>3088.8</v>
      </c>
      <c r="F26" s="23">
        <v>45523</v>
      </c>
      <c r="G26" s="22">
        <v>24823.15</v>
      </c>
      <c r="J26">
        <v>2020</v>
      </c>
      <c r="K26" s="33">
        <v>0.14899999999999999</v>
      </c>
    </row>
    <row r="27" spans="2:11" x14ac:dyDescent="0.3">
      <c r="B27" s="23">
        <v>45530</v>
      </c>
      <c r="C27" s="22">
        <v>3061.53</v>
      </c>
      <c r="F27" s="23">
        <v>45530</v>
      </c>
      <c r="G27" s="22">
        <v>25235.9</v>
      </c>
      <c r="J27">
        <v>2021</v>
      </c>
      <c r="K27" s="33">
        <v>0.2412</v>
      </c>
    </row>
    <row r="28" spans="2:11" x14ac:dyDescent="0.3">
      <c r="B28" s="23">
        <v>45537</v>
      </c>
      <c r="C28" s="22">
        <v>3205.37</v>
      </c>
      <c r="F28" s="23">
        <v>45537</v>
      </c>
      <c r="G28" s="22">
        <v>24852.15</v>
      </c>
      <c r="J28">
        <v>2022</v>
      </c>
      <c r="K28" s="33">
        <v>4.3200000000000002E-2</v>
      </c>
    </row>
    <row r="29" spans="2:11" x14ac:dyDescent="0.3">
      <c r="B29" s="23">
        <v>45544</v>
      </c>
      <c r="C29" s="22">
        <v>3287.96</v>
      </c>
      <c r="F29" s="23">
        <v>45544</v>
      </c>
      <c r="G29" s="22">
        <v>25356.5</v>
      </c>
      <c r="J29">
        <v>2023</v>
      </c>
      <c r="K29" s="33">
        <v>0.19420000000000001</v>
      </c>
    </row>
    <row r="30" spans="2:11" x14ac:dyDescent="0.3">
      <c r="B30" s="23">
        <v>45551</v>
      </c>
      <c r="C30" s="22">
        <v>3237.92</v>
      </c>
      <c r="F30" s="23">
        <v>45551</v>
      </c>
      <c r="G30" s="22">
        <v>25790.95</v>
      </c>
      <c r="J30">
        <v>2024</v>
      </c>
      <c r="K30" s="33">
        <v>8.7499999999999994E-2</v>
      </c>
    </row>
    <row r="31" spans="2:11" x14ac:dyDescent="0.3">
      <c r="B31" s="23">
        <v>45558</v>
      </c>
      <c r="C31" s="22">
        <v>3241.64</v>
      </c>
      <c r="F31" s="23">
        <v>45558</v>
      </c>
      <c r="G31" s="22">
        <v>26178.95</v>
      </c>
      <c r="J31">
        <v>2025</v>
      </c>
      <c r="K31" s="33">
        <v>0.1051</v>
      </c>
    </row>
    <row r="32" spans="2:11" x14ac:dyDescent="0.3">
      <c r="B32" s="23">
        <v>45565</v>
      </c>
      <c r="C32" s="22">
        <v>3008.37</v>
      </c>
      <c r="F32" s="23">
        <v>45565</v>
      </c>
      <c r="G32" s="22">
        <v>25014.6</v>
      </c>
    </row>
    <row r="33" spans="2:7" x14ac:dyDescent="0.3">
      <c r="B33" s="23">
        <v>45572</v>
      </c>
      <c r="C33" s="22">
        <v>2973.8</v>
      </c>
      <c r="F33" s="23">
        <v>45572</v>
      </c>
      <c r="G33" s="22">
        <v>24964.25</v>
      </c>
    </row>
    <row r="34" spans="2:7" x14ac:dyDescent="0.3">
      <c r="B34" s="23">
        <v>45579</v>
      </c>
      <c r="C34" s="22">
        <v>2929.69</v>
      </c>
      <c r="F34" s="23">
        <v>45579</v>
      </c>
      <c r="G34" s="22">
        <v>24854.05</v>
      </c>
    </row>
    <row r="35" spans="2:7" x14ac:dyDescent="0.3">
      <c r="B35" s="23">
        <v>45586</v>
      </c>
      <c r="C35" s="22">
        <v>2896.26</v>
      </c>
      <c r="F35" s="23">
        <v>45586</v>
      </c>
      <c r="G35" s="22">
        <v>24180.799999999999</v>
      </c>
    </row>
    <row r="36" spans="2:7" x14ac:dyDescent="0.3">
      <c r="B36" s="23">
        <v>45593</v>
      </c>
      <c r="C36" s="22">
        <v>2878.48</v>
      </c>
      <c r="F36" s="23">
        <v>45593</v>
      </c>
      <c r="G36" s="22">
        <v>24304.35</v>
      </c>
    </row>
    <row r="37" spans="2:7" x14ac:dyDescent="0.3">
      <c r="B37" s="23">
        <v>45600</v>
      </c>
      <c r="C37" s="22">
        <v>2711.64</v>
      </c>
      <c r="F37" s="23">
        <v>45600</v>
      </c>
      <c r="G37" s="22">
        <v>24148.2</v>
      </c>
    </row>
    <row r="38" spans="2:7" x14ac:dyDescent="0.3">
      <c r="B38" s="23">
        <v>45607</v>
      </c>
      <c r="C38" s="22">
        <v>2431.3200000000002</v>
      </c>
      <c r="F38" s="23">
        <v>45607</v>
      </c>
      <c r="G38" s="22">
        <v>23532.7</v>
      </c>
    </row>
    <row r="39" spans="2:7" x14ac:dyDescent="0.3">
      <c r="B39" s="23">
        <v>45614</v>
      </c>
      <c r="C39" s="22">
        <v>2424.75</v>
      </c>
      <c r="F39" s="23">
        <v>45614</v>
      </c>
      <c r="G39" s="22">
        <v>23907.25</v>
      </c>
    </row>
    <row r="40" spans="2:7" x14ac:dyDescent="0.3">
      <c r="B40" s="23">
        <v>45621</v>
      </c>
      <c r="C40" s="22">
        <v>2432</v>
      </c>
      <c r="F40" s="23">
        <v>45621</v>
      </c>
      <c r="G40" s="22">
        <v>24131.1</v>
      </c>
    </row>
    <row r="41" spans="2:7" x14ac:dyDescent="0.3">
      <c r="B41" s="23">
        <v>45628</v>
      </c>
      <c r="C41" s="22">
        <v>2383.06</v>
      </c>
      <c r="F41" s="23">
        <v>45628</v>
      </c>
      <c r="G41" s="22">
        <v>24677.8</v>
      </c>
    </row>
    <row r="42" spans="2:7" x14ac:dyDescent="0.3">
      <c r="B42" s="23">
        <v>45635</v>
      </c>
      <c r="C42" s="22">
        <v>2361.4299999999998</v>
      </c>
      <c r="F42" s="23">
        <v>45635</v>
      </c>
      <c r="G42" s="22">
        <v>24768.3</v>
      </c>
    </row>
    <row r="43" spans="2:7" x14ac:dyDescent="0.3">
      <c r="B43" s="23">
        <v>45642</v>
      </c>
      <c r="C43" s="22">
        <v>2238.54</v>
      </c>
      <c r="F43" s="23">
        <v>45642</v>
      </c>
      <c r="G43" s="22">
        <v>23587.5</v>
      </c>
    </row>
    <row r="44" spans="2:7" x14ac:dyDescent="0.3">
      <c r="B44" s="23">
        <v>45649</v>
      </c>
      <c r="C44" s="22">
        <v>2227.8000000000002</v>
      </c>
      <c r="F44" s="23">
        <v>45649</v>
      </c>
      <c r="G44" s="22">
        <v>23813.4</v>
      </c>
    </row>
    <row r="45" spans="2:7" x14ac:dyDescent="0.3">
      <c r="B45" s="23">
        <v>45656</v>
      </c>
      <c r="C45" s="22">
        <v>2291.11</v>
      </c>
      <c r="F45" s="23">
        <v>45656</v>
      </c>
      <c r="G45" s="22">
        <v>24004.75</v>
      </c>
    </row>
    <row r="46" spans="2:7" x14ac:dyDescent="0.3">
      <c r="B46" s="23">
        <v>45663</v>
      </c>
      <c r="C46" s="22">
        <v>2276.1999999999998</v>
      </c>
      <c r="F46" s="23">
        <v>45663</v>
      </c>
      <c r="G46" s="22">
        <v>23431.5</v>
      </c>
    </row>
    <row r="47" spans="2:7" x14ac:dyDescent="0.3">
      <c r="B47" s="23">
        <v>45670</v>
      </c>
      <c r="C47" s="22">
        <v>2217.6</v>
      </c>
      <c r="F47" s="23">
        <v>45670</v>
      </c>
      <c r="G47" s="22">
        <v>23203.200000000001</v>
      </c>
    </row>
    <row r="48" spans="2:7" x14ac:dyDescent="0.3">
      <c r="B48" s="23">
        <v>45677</v>
      </c>
      <c r="C48" s="22">
        <v>2218.9699999999998</v>
      </c>
      <c r="F48" s="23">
        <v>45677</v>
      </c>
      <c r="G48" s="22">
        <v>23092.2</v>
      </c>
    </row>
    <row r="49" spans="2:7" x14ac:dyDescent="0.3">
      <c r="B49" s="23">
        <v>45684</v>
      </c>
      <c r="C49" s="22">
        <v>2306.02</v>
      </c>
      <c r="F49" s="23">
        <v>45684</v>
      </c>
      <c r="G49" s="22">
        <v>23482.15</v>
      </c>
    </row>
    <row r="50" spans="2:7" x14ac:dyDescent="0.3">
      <c r="B50" s="23">
        <v>45691</v>
      </c>
      <c r="C50" s="22">
        <v>2227.41</v>
      </c>
      <c r="F50" s="23">
        <v>45691</v>
      </c>
      <c r="G50" s="22">
        <v>23559.95</v>
      </c>
    </row>
    <row r="51" spans="2:7" x14ac:dyDescent="0.3">
      <c r="B51" s="23">
        <v>45698</v>
      </c>
      <c r="C51" s="22">
        <v>2188.4699999999998</v>
      </c>
      <c r="F51" s="23">
        <v>45698</v>
      </c>
      <c r="G51" s="22">
        <v>22929.25</v>
      </c>
    </row>
    <row r="52" spans="2:7" x14ac:dyDescent="0.3">
      <c r="B52" s="23">
        <v>45705</v>
      </c>
      <c r="C52" s="22">
        <v>2214.2600000000002</v>
      </c>
      <c r="F52" s="23">
        <v>45705</v>
      </c>
      <c r="G52" s="22">
        <v>22795.9</v>
      </c>
    </row>
    <row r="53" spans="2:7" x14ac:dyDescent="0.3">
      <c r="B53" s="23">
        <v>45712</v>
      </c>
      <c r="C53" s="22">
        <v>2137.91</v>
      </c>
      <c r="F53" s="23">
        <v>45712</v>
      </c>
      <c r="G53" s="22">
        <v>22124.7</v>
      </c>
    </row>
    <row r="54" spans="2:7" x14ac:dyDescent="0.3">
      <c r="B54" s="23">
        <v>45719</v>
      </c>
      <c r="C54" s="22">
        <v>2226.4299999999998</v>
      </c>
      <c r="F54" s="23">
        <v>45719</v>
      </c>
      <c r="G54" s="22">
        <v>22552.5</v>
      </c>
    </row>
    <row r="55" spans="2:7" x14ac:dyDescent="0.3">
      <c r="B55" s="23">
        <v>45726</v>
      </c>
      <c r="C55" s="22">
        <v>2188.4699999999998</v>
      </c>
      <c r="F55" s="23">
        <v>45726</v>
      </c>
      <c r="G55" s="22">
        <v>22397.200000000001</v>
      </c>
    </row>
    <row r="56" spans="2:7" x14ac:dyDescent="0.3">
      <c r="B56" s="23">
        <v>45733</v>
      </c>
      <c r="C56" s="22">
        <v>2256.2399999999998</v>
      </c>
      <c r="F56" s="23">
        <v>45733</v>
      </c>
      <c r="G56" s="22">
        <v>23350.400000000001</v>
      </c>
    </row>
    <row r="57" spans="2:7" x14ac:dyDescent="0.3">
      <c r="B57" s="23">
        <v>45740</v>
      </c>
      <c r="C57" s="22">
        <v>2295.7199999999998</v>
      </c>
      <c r="F57" s="23">
        <v>45740</v>
      </c>
      <c r="G57" s="22">
        <v>23519.35</v>
      </c>
    </row>
    <row r="58" spans="2:7" x14ac:dyDescent="0.3">
      <c r="B58" s="23">
        <v>45747</v>
      </c>
      <c r="C58" s="22">
        <v>2310.8200000000002</v>
      </c>
      <c r="F58" s="23">
        <v>45747</v>
      </c>
      <c r="G58" s="22">
        <v>22904.45</v>
      </c>
    </row>
    <row r="59" spans="2:7" x14ac:dyDescent="0.3">
      <c r="B59" s="23">
        <v>45754</v>
      </c>
      <c r="C59" s="22">
        <v>2347.65</v>
      </c>
      <c r="F59" s="23">
        <v>45754</v>
      </c>
      <c r="G59" s="22">
        <v>22828.55</v>
      </c>
    </row>
    <row r="60" spans="2:7" x14ac:dyDescent="0.3">
      <c r="B60" s="23">
        <v>45761</v>
      </c>
      <c r="C60" s="22">
        <v>2420.5300000000002</v>
      </c>
      <c r="F60" s="23">
        <v>45761</v>
      </c>
      <c r="G60" s="22">
        <v>23851.65</v>
      </c>
    </row>
    <row r="61" spans="2:7" x14ac:dyDescent="0.3">
      <c r="B61" s="23">
        <v>45768</v>
      </c>
      <c r="C61" s="22">
        <v>2384.92</v>
      </c>
      <c r="F61" s="23">
        <v>45768</v>
      </c>
      <c r="G61" s="22">
        <v>24039.35</v>
      </c>
    </row>
    <row r="62" spans="2:7" x14ac:dyDescent="0.3">
      <c r="B62" s="23">
        <v>45775</v>
      </c>
      <c r="C62" s="22">
        <v>2363.7399999999998</v>
      </c>
      <c r="F62" s="23">
        <v>45775</v>
      </c>
      <c r="G62" s="22">
        <v>24346.7</v>
      </c>
    </row>
    <row r="63" spans="2:7" x14ac:dyDescent="0.3">
      <c r="B63" s="23">
        <v>45782</v>
      </c>
      <c r="C63" s="22">
        <v>2255.46</v>
      </c>
      <c r="F63" s="23">
        <v>45782</v>
      </c>
      <c r="G63" s="22">
        <v>24008</v>
      </c>
    </row>
    <row r="64" spans="2:7" x14ac:dyDescent="0.3">
      <c r="B64" s="23">
        <v>45789</v>
      </c>
      <c r="C64" s="22">
        <v>2308.42</v>
      </c>
      <c r="F64" s="23">
        <v>45789</v>
      </c>
      <c r="G64" s="22">
        <v>25019.8</v>
      </c>
    </row>
    <row r="65" spans="2:7" x14ac:dyDescent="0.3">
      <c r="B65" s="23">
        <v>45796</v>
      </c>
      <c r="C65" s="22">
        <v>2271.0500000000002</v>
      </c>
      <c r="F65" s="23">
        <v>45796</v>
      </c>
      <c r="G65" s="22">
        <v>24853.15</v>
      </c>
    </row>
    <row r="66" spans="2:7" x14ac:dyDescent="0.3">
      <c r="B66" s="23">
        <v>45803</v>
      </c>
      <c r="C66" s="22">
        <v>2215.7399999999998</v>
      </c>
      <c r="F66" s="23">
        <v>45803</v>
      </c>
      <c r="G66" s="22">
        <v>24750.7</v>
      </c>
    </row>
    <row r="67" spans="2:7" x14ac:dyDescent="0.3">
      <c r="B67" s="23">
        <v>45810</v>
      </c>
      <c r="C67" s="22">
        <v>2202.1</v>
      </c>
      <c r="F67" s="23">
        <v>45810</v>
      </c>
      <c r="G67" s="22">
        <v>25003.05</v>
      </c>
    </row>
    <row r="68" spans="2:7" x14ac:dyDescent="0.3">
      <c r="B68" s="23">
        <v>45817</v>
      </c>
      <c r="C68" s="22">
        <v>2191.73</v>
      </c>
      <c r="F68" s="23">
        <v>45817</v>
      </c>
      <c r="G68" s="22">
        <v>24718.6</v>
      </c>
    </row>
    <row r="69" spans="2:7" x14ac:dyDescent="0.3">
      <c r="B69" s="23">
        <v>45824</v>
      </c>
      <c r="C69" s="22">
        <v>2262.5100000000002</v>
      </c>
      <c r="F69" s="23">
        <v>45824</v>
      </c>
      <c r="G69" s="22">
        <v>25112.400000000001</v>
      </c>
    </row>
    <row r="70" spans="2:7" x14ac:dyDescent="0.3">
      <c r="B70" s="23">
        <v>45831</v>
      </c>
      <c r="C70" s="22">
        <v>2334.77</v>
      </c>
      <c r="F70" s="23">
        <v>45831</v>
      </c>
      <c r="G70" s="22">
        <v>25637.8</v>
      </c>
    </row>
    <row r="71" spans="2:7" x14ac:dyDescent="0.3">
      <c r="B71" s="23">
        <v>45838</v>
      </c>
      <c r="C71" s="22">
        <v>2399.6</v>
      </c>
      <c r="F71" s="23">
        <v>45838</v>
      </c>
      <c r="G71" s="22">
        <v>25461</v>
      </c>
    </row>
    <row r="72" spans="2:7" x14ac:dyDescent="0.3">
      <c r="B72" s="23">
        <v>45845</v>
      </c>
      <c r="C72" s="22">
        <v>2414.4499999999998</v>
      </c>
      <c r="F72" s="23">
        <v>45845</v>
      </c>
      <c r="G72" s="22">
        <v>25149.85</v>
      </c>
    </row>
    <row r="73" spans="2:7" x14ac:dyDescent="0.3">
      <c r="B73" s="23">
        <v>45852</v>
      </c>
      <c r="C73" s="22">
        <v>2358.23</v>
      </c>
      <c r="F73" s="23">
        <v>45852</v>
      </c>
      <c r="G73" s="22">
        <v>24968.400000000001</v>
      </c>
    </row>
    <row r="74" spans="2:7" x14ac:dyDescent="0.3">
      <c r="B74" s="23">
        <v>45859</v>
      </c>
      <c r="C74" s="22">
        <v>2312.5</v>
      </c>
      <c r="F74" s="23">
        <v>45859</v>
      </c>
      <c r="G74" s="22">
        <v>24837</v>
      </c>
    </row>
    <row r="75" spans="2:7" x14ac:dyDescent="0.3">
      <c r="B75" s="23">
        <v>45866</v>
      </c>
      <c r="C75" s="22">
        <v>2406.33</v>
      </c>
      <c r="F75" s="23">
        <v>45866</v>
      </c>
      <c r="G75" s="22">
        <v>24565.35</v>
      </c>
    </row>
    <row r="76" spans="2:7" x14ac:dyDescent="0.3">
      <c r="B76" s="23">
        <v>45873</v>
      </c>
      <c r="C76" s="22">
        <v>2450.48</v>
      </c>
      <c r="F76" s="23">
        <v>45873</v>
      </c>
      <c r="G76" s="22">
        <v>24363.3</v>
      </c>
    </row>
    <row r="77" spans="2:7" x14ac:dyDescent="0.3">
      <c r="B77" s="23">
        <v>45880</v>
      </c>
      <c r="C77" s="22">
        <v>2503.04</v>
      </c>
      <c r="F77" s="23">
        <v>45880</v>
      </c>
      <c r="G77" s="22">
        <v>24631.3</v>
      </c>
    </row>
    <row r="78" spans="2:7" x14ac:dyDescent="0.3">
      <c r="B78" s="23">
        <v>45887</v>
      </c>
      <c r="C78" s="22">
        <v>2479.09</v>
      </c>
      <c r="F78" s="23">
        <v>45887</v>
      </c>
      <c r="G78" s="22">
        <v>24870.1</v>
      </c>
    </row>
    <row r="79" spans="2:7" x14ac:dyDescent="0.3">
      <c r="B79" s="23">
        <v>45894</v>
      </c>
      <c r="C79" s="22">
        <v>2493.0500000000002</v>
      </c>
      <c r="F79" s="23">
        <v>45894</v>
      </c>
      <c r="G79" s="22">
        <v>24426.85</v>
      </c>
    </row>
    <row r="80" spans="2:7" x14ac:dyDescent="0.3">
      <c r="B80" s="23">
        <v>45901</v>
      </c>
      <c r="C80" s="22">
        <v>2553.7199999999998</v>
      </c>
      <c r="F80" s="23">
        <v>45901</v>
      </c>
      <c r="G80" s="22">
        <v>24741</v>
      </c>
    </row>
    <row r="81" spans="2:7" x14ac:dyDescent="0.3">
      <c r="B81" s="23">
        <v>45908</v>
      </c>
      <c r="C81" s="22">
        <v>2520.46</v>
      </c>
      <c r="F81" s="23">
        <v>45908</v>
      </c>
      <c r="G81" s="22">
        <v>25114</v>
      </c>
    </row>
    <row r="82" spans="2:7" x14ac:dyDescent="0.3">
      <c r="B82" s="23">
        <v>45915</v>
      </c>
      <c r="C82" s="22">
        <v>2456.52</v>
      </c>
      <c r="F82" s="23">
        <v>45915</v>
      </c>
      <c r="G82" s="22">
        <v>25327.05</v>
      </c>
    </row>
    <row r="83" spans="2:7" x14ac:dyDescent="0.3">
      <c r="B83" s="23">
        <v>45922</v>
      </c>
      <c r="C83" s="22">
        <v>2319.0300000000002</v>
      </c>
      <c r="F83" s="23">
        <v>45922</v>
      </c>
      <c r="G83" s="22">
        <v>24654.7</v>
      </c>
    </row>
    <row r="84" spans="2:7" x14ac:dyDescent="0.3">
      <c r="B84" s="23">
        <v>45929</v>
      </c>
      <c r="C84" s="22">
        <v>2333.88</v>
      </c>
      <c r="F84" s="23">
        <v>45929</v>
      </c>
      <c r="G84" s="22">
        <v>24894.25</v>
      </c>
    </row>
    <row r="85" spans="2:7" x14ac:dyDescent="0.3">
      <c r="B85" s="23">
        <v>45936</v>
      </c>
      <c r="C85" s="22">
        <v>2316.46</v>
      </c>
      <c r="F85" s="23">
        <v>45936</v>
      </c>
      <c r="G85" s="22">
        <v>25285.35</v>
      </c>
    </row>
    <row r="86" spans="2:7" x14ac:dyDescent="0.3">
      <c r="B86" s="23">
        <v>45943</v>
      </c>
      <c r="C86" s="22">
        <v>2482.36</v>
      </c>
      <c r="F86" s="23">
        <v>45943</v>
      </c>
      <c r="G86" s="22">
        <v>25709.85</v>
      </c>
    </row>
    <row r="87" spans="2:7" x14ac:dyDescent="0.3">
      <c r="B87" s="23">
        <v>45950</v>
      </c>
      <c r="C87" s="22">
        <v>2476.2199999999998</v>
      </c>
      <c r="F87" s="23">
        <v>45950</v>
      </c>
      <c r="G87" s="22">
        <v>25795.15</v>
      </c>
    </row>
    <row r="88" spans="2:7" x14ac:dyDescent="0.3">
      <c r="B88" s="23">
        <v>45957</v>
      </c>
      <c r="C88" s="22">
        <v>2485.3200000000002</v>
      </c>
      <c r="F88" s="23">
        <v>45957</v>
      </c>
      <c r="G88" s="22">
        <v>25722.1</v>
      </c>
    </row>
    <row r="89" spans="2:7" x14ac:dyDescent="0.3">
      <c r="B89" s="23">
        <v>45964</v>
      </c>
      <c r="C89" s="22">
        <v>2587.2800000000002</v>
      </c>
      <c r="F89" s="23">
        <v>45964</v>
      </c>
      <c r="G89" s="22">
        <v>25492.3</v>
      </c>
    </row>
    <row r="90" spans="2:7" x14ac:dyDescent="0.3">
      <c r="B90" s="23">
        <v>45971</v>
      </c>
      <c r="C90" s="22">
        <v>2876.91</v>
      </c>
      <c r="F90" s="23">
        <v>45971</v>
      </c>
      <c r="G90" s="22">
        <v>25910.05</v>
      </c>
    </row>
    <row r="91" spans="2:7" x14ac:dyDescent="0.3">
      <c r="B91" s="23">
        <v>45978</v>
      </c>
      <c r="C91" s="22">
        <v>2851.86</v>
      </c>
      <c r="F91" s="23">
        <v>45978</v>
      </c>
      <c r="G91" s="22">
        <v>26068.15</v>
      </c>
    </row>
    <row r="92" spans="2:7" x14ac:dyDescent="0.3">
      <c r="B92" s="23">
        <v>45985</v>
      </c>
      <c r="C92" s="22">
        <v>2849.68</v>
      </c>
      <c r="F92" s="23">
        <v>45985</v>
      </c>
      <c r="G92" s="22">
        <v>26202.95</v>
      </c>
    </row>
    <row r="93" spans="2:7" x14ac:dyDescent="0.3">
      <c r="B93" s="23">
        <v>45992</v>
      </c>
      <c r="C93" s="22">
        <v>2942.97</v>
      </c>
      <c r="F93" s="23">
        <v>45992</v>
      </c>
      <c r="G93" s="22">
        <v>26186.45</v>
      </c>
    </row>
    <row r="94" spans="2:7" x14ac:dyDescent="0.3">
      <c r="B94" s="23">
        <v>45999</v>
      </c>
      <c r="C94" s="22">
        <v>2741.02</v>
      </c>
      <c r="F94" s="23">
        <v>45999</v>
      </c>
      <c r="G94" s="22">
        <v>26046.95</v>
      </c>
    </row>
    <row r="95" spans="2:7" x14ac:dyDescent="0.3">
      <c r="B95" s="23">
        <v>46006</v>
      </c>
      <c r="C95" s="22">
        <v>2775.82</v>
      </c>
      <c r="F95" s="23">
        <v>46006</v>
      </c>
      <c r="G95" s="22">
        <v>25966.400000000001</v>
      </c>
    </row>
    <row r="96" spans="2:7" x14ac:dyDescent="0.3">
      <c r="B96" s="23">
        <v>46013</v>
      </c>
      <c r="C96" s="22">
        <v>2722.88</v>
      </c>
      <c r="F96" s="23">
        <v>46013</v>
      </c>
      <c r="G96" s="22">
        <v>26042.3</v>
      </c>
    </row>
    <row r="97" spans="2:7" x14ac:dyDescent="0.3">
      <c r="B97" s="23">
        <v>46020</v>
      </c>
      <c r="C97" s="22">
        <v>2748.75</v>
      </c>
      <c r="F97" s="23">
        <v>46020</v>
      </c>
      <c r="G97" s="22">
        <v>26328.55</v>
      </c>
    </row>
    <row r="98" spans="2:7" x14ac:dyDescent="0.3">
      <c r="B98" s="23">
        <v>46027</v>
      </c>
      <c r="C98" s="22">
        <v>2801.2</v>
      </c>
      <c r="F98" s="23">
        <v>46027</v>
      </c>
      <c r="G98" s="22">
        <v>25683.3</v>
      </c>
    </row>
    <row r="99" spans="2:7" x14ac:dyDescent="0.3">
      <c r="B99" s="23">
        <v>46034</v>
      </c>
      <c r="C99" s="22">
        <v>2733.19</v>
      </c>
      <c r="F99" s="23">
        <v>46034</v>
      </c>
      <c r="G99" s="22">
        <v>25694.35</v>
      </c>
    </row>
    <row r="100" spans="2:7" x14ac:dyDescent="0.3">
      <c r="B100" s="23">
        <v>46041</v>
      </c>
      <c r="C100" s="22">
        <v>2680.44</v>
      </c>
      <c r="F100" s="23">
        <v>46041</v>
      </c>
      <c r="G100" s="22">
        <v>25048.65</v>
      </c>
    </row>
    <row r="101" spans="2:7" x14ac:dyDescent="0.3">
      <c r="B101" s="23">
        <v>46048</v>
      </c>
      <c r="C101" s="22">
        <v>2336.73</v>
      </c>
      <c r="F101" s="23">
        <v>46048</v>
      </c>
      <c r="G101" s="22">
        <v>24825.45</v>
      </c>
    </row>
    <row r="102" spans="2:7" x14ac:dyDescent="0.3">
      <c r="B102" s="23">
        <v>46055</v>
      </c>
      <c r="C102" s="22">
        <v>2380.4499999999998</v>
      </c>
      <c r="F102" s="23">
        <v>46055</v>
      </c>
      <c r="G102" s="22">
        <v>25693.7</v>
      </c>
    </row>
    <row r="103" spans="2:7" x14ac:dyDescent="0.3">
      <c r="B103" s="23">
        <v>46062</v>
      </c>
      <c r="C103" s="22">
        <v>2346.0500000000002</v>
      </c>
      <c r="F103" s="23">
        <v>46062</v>
      </c>
      <c r="G103" s="22">
        <v>25471.1</v>
      </c>
    </row>
    <row r="104" spans="2:7" x14ac:dyDescent="0.3">
      <c r="B104" s="23">
        <v>46069</v>
      </c>
      <c r="C104" s="22">
        <v>2407.2199999999998</v>
      </c>
      <c r="F104" s="23">
        <v>46069</v>
      </c>
      <c r="G104" s="22">
        <v>25571.25</v>
      </c>
    </row>
    <row r="105" spans="2:7" x14ac:dyDescent="0.3">
      <c r="B105" s="23">
        <v>46076</v>
      </c>
      <c r="C105" s="22">
        <v>2355.7600000000002</v>
      </c>
      <c r="F105" s="23">
        <v>46076</v>
      </c>
      <c r="G105" s="22">
        <v>25178.65</v>
      </c>
    </row>
    <row r="106" spans="2:7" x14ac:dyDescent="0.3">
      <c r="B106" s="23">
        <v>46083</v>
      </c>
      <c r="C106" s="22">
        <v>2259.89</v>
      </c>
      <c r="F106" s="23">
        <v>46083</v>
      </c>
      <c r="G106" s="22">
        <v>24450.45</v>
      </c>
    </row>
    <row r="107" spans="2:7" x14ac:dyDescent="0.3">
      <c r="B107" s="23">
        <v>46090</v>
      </c>
      <c r="C107" s="22">
        <v>2177.9</v>
      </c>
      <c r="F107" s="23">
        <v>46090</v>
      </c>
      <c r="G107" s="22">
        <v>23151.1</v>
      </c>
    </row>
    <row r="108" spans="2:7" x14ac:dyDescent="0.3">
      <c r="B108" s="23">
        <v>46097</v>
      </c>
      <c r="C108" s="22">
        <v>2176.52</v>
      </c>
      <c r="F108" s="23">
        <v>46097</v>
      </c>
      <c r="G108" s="22">
        <v>23114.5</v>
      </c>
    </row>
    <row r="109" spans="2:7" x14ac:dyDescent="0.3">
      <c r="B109" s="23">
        <v>46104</v>
      </c>
      <c r="C109" s="22">
        <v>2188.41</v>
      </c>
      <c r="F109" s="23">
        <v>46104</v>
      </c>
      <c r="G109" s="22">
        <v>22819.599999999999</v>
      </c>
    </row>
    <row r="110" spans="2:7" x14ac:dyDescent="0.3">
      <c r="B110" s="23">
        <v>46111</v>
      </c>
      <c r="C110" s="22">
        <v>2146.58</v>
      </c>
      <c r="F110" s="23">
        <v>46111</v>
      </c>
      <c r="G110" s="22">
        <v>22331.4</v>
      </c>
    </row>
  </sheetData>
  <autoFilter ref="F5:G110" xr:uid="{64A4A207-4B4D-42A4-9CAF-963E8A1EB869}">
    <sortState xmlns:xlrd2="http://schemas.microsoft.com/office/spreadsheetml/2017/richdata2" ref="F6:G110">
      <sortCondition ref="F5:F1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DCF</vt:lpstr>
      <vt:lpstr>WACC</vt:lpstr>
      <vt:lpstr>Beta</vt:lpstr>
      <vt:lpstr>Rm</vt:lpstr>
      <vt:lpstr>Intrinsic Growth</vt:lpstr>
      <vt:lpstr>Raw FS</vt:lpstr>
      <vt:lpstr>Data Sheet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Bharali</dc:creator>
  <cp:lastModifiedBy>Mayank Bharali</cp:lastModifiedBy>
  <dcterms:created xsi:type="dcterms:W3CDTF">2026-07-16T12:37:55Z</dcterms:created>
  <dcterms:modified xsi:type="dcterms:W3CDTF">2026-08-13T17:40:21Z</dcterms:modified>
</cp:coreProperties>
</file>