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\Documents\Founder's Office Hype\Excel Work\"/>
    </mc:Choice>
  </mc:AlternateContent>
  <xr:revisionPtr revIDLastSave="0" documentId="13_ncr:1_{DAE11A9F-721D-40FF-8B92-36EA8C3B628D}" xr6:coauthVersionLast="47" xr6:coauthVersionMax="47" xr10:uidLastSave="{00000000-0000-0000-0000-000000000000}"/>
  <bookViews>
    <workbookView xWindow="-108" yWindow="-108" windowWidth="23256" windowHeight="14616" xr2:uid="{E9FEAC43-FC67-4230-B82D-82B5104DA70C}"/>
  </bookViews>
  <sheets>
    <sheet name="Assumptions &amp; Inputs" sheetId="1" r:id="rId1"/>
    <sheet name="Founding Cap Table" sheetId="2" r:id="rId2"/>
    <sheet name="Seed Round" sheetId="3" r:id="rId3"/>
    <sheet name="Series A" sheetId="4" r:id="rId4"/>
    <sheet name="Dilution Summary" sheetId="5" r:id="rId5"/>
    <sheet name="No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G21" i="5"/>
  <c r="F21" i="5"/>
  <c r="E21" i="5"/>
  <c r="C21" i="5"/>
  <c r="B21" i="5"/>
  <c r="A16" i="5"/>
  <c r="A15" i="5"/>
  <c r="A14" i="5"/>
  <c r="A12" i="5"/>
  <c r="A11" i="5"/>
  <c r="C7" i="5"/>
  <c r="B7" i="5"/>
  <c r="C6" i="5"/>
  <c r="B6" i="5"/>
  <c r="A1" i="5"/>
  <c r="C22" i="4"/>
  <c r="A22" i="4"/>
  <c r="C21" i="4"/>
  <c r="A21" i="4"/>
  <c r="C20" i="4"/>
  <c r="A20" i="4"/>
  <c r="A18" i="4"/>
  <c r="A17" i="4"/>
  <c r="B8" i="4"/>
  <c r="B7" i="4"/>
  <c r="B6" i="4"/>
  <c r="B5" i="4"/>
  <c r="A1" i="4"/>
  <c r="C34" i="3"/>
  <c r="A34" i="3"/>
  <c r="C33" i="3"/>
  <c r="A33" i="3"/>
  <c r="A31" i="3"/>
  <c r="A30" i="3"/>
  <c r="B23" i="3"/>
  <c r="B22" i="3"/>
  <c r="B21" i="3"/>
  <c r="B20" i="3"/>
  <c r="B9" i="3"/>
  <c r="B8" i="3"/>
  <c r="B6" i="3"/>
  <c r="B5" i="3"/>
  <c r="A1" i="3"/>
  <c r="E13" i="2"/>
  <c r="A12" i="2"/>
  <c r="D11" i="2"/>
  <c r="D15" i="2" s="1"/>
  <c r="A11" i="2"/>
  <c r="B6" i="2"/>
  <c r="B5" i="2"/>
  <c r="B7" i="2" s="1"/>
  <c r="F5" i="5" s="1"/>
  <c r="B4" i="2"/>
  <c r="A1" i="2"/>
  <c r="B33" i="1"/>
  <c r="B9" i="4" s="1"/>
  <c r="B26" i="1"/>
  <c r="D6" i="5" s="1"/>
  <c r="B20" i="1"/>
  <c r="D12" i="2" s="1"/>
  <c r="B17" i="1"/>
  <c r="B12" i="1"/>
  <c r="B12" i="3" l="1"/>
  <c r="B14" i="3" s="1"/>
  <c r="B11" i="3"/>
  <c r="B25" i="3"/>
  <c r="G5" i="5"/>
  <c r="B13" i="3"/>
  <c r="B15" i="3" s="1"/>
  <c r="B16" i="3" s="1"/>
  <c r="E33" i="3" s="1"/>
  <c r="F33" i="3" s="1"/>
  <c r="G12" i="2"/>
  <c r="B12" i="5" s="1"/>
  <c r="F12" i="2"/>
  <c r="D31" i="3"/>
  <c r="F31" i="3" s="1"/>
  <c r="G13" i="2"/>
  <c r="B13" i="5" s="1"/>
  <c r="D22" i="5" s="1"/>
  <c r="E15" i="2"/>
  <c r="D7" i="5"/>
  <c r="F11" i="2"/>
  <c r="F15" i="2" s="1"/>
  <c r="D30" i="3"/>
  <c r="B24" i="3"/>
  <c r="D32" i="3"/>
  <c r="F32" i="3" s="1"/>
  <c r="D19" i="4" s="1"/>
  <c r="F19" i="4" s="1"/>
  <c r="G11" i="2"/>
  <c r="C22" i="5" l="1"/>
  <c r="D18" i="4"/>
  <c r="F18" i="4" s="1"/>
  <c r="B11" i="5"/>
  <c r="G15" i="2"/>
  <c r="B26" i="3"/>
  <c r="E6" i="5"/>
  <c r="F30" i="3"/>
  <c r="D36" i="3"/>
  <c r="D20" i="4"/>
  <c r="E34" i="3" l="1"/>
  <c r="D17" i="4"/>
  <c r="F17" i="4" s="1"/>
  <c r="B18" i="5"/>
  <c r="B22" i="5"/>
  <c r="F20" i="4"/>
  <c r="F34" i="3" l="1"/>
  <c r="E36" i="3"/>
  <c r="G6" i="5" s="1"/>
  <c r="G34" i="3" l="1"/>
  <c r="D21" i="4"/>
  <c r="F36" i="3"/>
  <c r="H34" i="3"/>
  <c r="C15" i="5" s="1"/>
  <c r="F23" i="5" s="1"/>
  <c r="G33" i="3" l="1"/>
  <c r="G31" i="3"/>
  <c r="B12" i="4"/>
  <c r="F6" i="5"/>
  <c r="B11" i="4"/>
  <c r="G30" i="3"/>
  <c r="G36" i="3" s="1"/>
  <c r="H31" i="3"/>
  <c r="C12" i="5" s="1"/>
  <c r="C23" i="5" s="1"/>
  <c r="H32" i="3"/>
  <c r="C13" i="5" s="1"/>
  <c r="D23" i="5" s="1"/>
  <c r="H33" i="3"/>
  <c r="C14" i="5" s="1"/>
  <c r="E23" i="5" s="1"/>
  <c r="H30" i="3"/>
  <c r="F21" i="4"/>
  <c r="D24" i="4"/>
  <c r="C11" i="5" l="1"/>
  <c r="H36" i="3"/>
  <c r="B13" i="4"/>
  <c r="E22" i="4" s="1"/>
  <c r="E7" i="5"/>
  <c r="E24" i="4" l="1"/>
  <c r="G7" i="5" s="1"/>
  <c r="F22" i="4"/>
  <c r="C18" i="5"/>
  <c r="B23" i="5"/>
  <c r="F24" i="4" l="1"/>
  <c r="G22" i="4"/>
  <c r="H22" i="4"/>
  <c r="D16" i="5" s="1"/>
  <c r="G24" i="5" s="1"/>
  <c r="H18" i="4" l="1"/>
  <c r="D12" i="5" s="1"/>
  <c r="G20" i="4"/>
  <c r="G18" i="4"/>
  <c r="H21" i="4"/>
  <c r="D15" i="5" s="1"/>
  <c r="F24" i="5" s="1"/>
  <c r="H20" i="4"/>
  <c r="D14" i="5" s="1"/>
  <c r="E24" i="5" s="1"/>
  <c r="F7" i="5"/>
  <c r="H19" i="4"/>
  <c r="D13" i="5" s="1"/>
  <c r="D24" i="5" s="1"/>
  <c r="H17" i="4"/>
  <c r="G17" i="4"/>
  <c r="G24" i="4" s="1"/>
  <c r="G21" i="4"/>
  <c r="D11" i="5" l="1"/>
  <c r="H24" i="4"/>
  <c r="E12" i="5"/>
  <c r="C24" i="5"/>
  <c r="E11" i="5" l="1"/>
  <c r="B24" i="5"/>
  <c r="D18" i="5"/>
</calcChain>
</file>

<file path=xl/sharedStrings.xml><?xml version="1.0" encoding="utf-8"?>
<sst xmlns="http://schemas.openxmlformats.org/spreadsheetml/2006/main" count="207" uniqueCount="130">
  <si>
    <t>Company Name</t>
  </si>
  <si>
    <t>Total Authorized Shares</t>
  </si>
  <si>
    <t>Founder 1 Name</t>
  </si>
  <si>
    <t>Mayank</t>
  </si>
  <si>
    <t xml:space="preserve">Rathin </t>
  </si>
  <si>
    <t>Share Structure</t>
  </si>
  <si>
    <t>Founding Shares</t>
  </si>
  <si>
    <t>ESOP Pool %</t>
  </si>
  <si>
    <t>ESOP Pool Share</t>
  </si>
  <si>
    <t>Currency</t>
  </si>
  <si>
    <t>Model Date</t>
  </si>
  <si>
    <t>Company Details</t>
  </si>
  <si>
    <t>XYZ</t>
  </si>
  <si>
    <t>Inr</t>
  </si>
  <si>
    <t>Founder Details</t>
  </si>
  <si>
    <t>Founder 1 Share %</t>
  </si>
  <si>
    <t>Founder 2 Name</t>
  </si>
  <si>
    <t>Founder 2 Share %</t>
  </si>
  <si>
    <t>Founder 1 Shares</t>
  </si>
  <si>
    <t xml:space="preserve">Founder 2 Shares </t>
  </si>
  <si>
    <t>SEED Round</t>
  </si>
  <si>
    <t>Pre Money Valuation</t>
  </si>
  <si>
    <t>Investment Amount</t>
  </si>
  <si>
    <t>Post Money Valuation</t>
  </si>
  <si>
    <t>Investor Name</t>
  </si>
  <si>
    <t>Share Class</t>
  </si>
  <si>
    <t>Lebron James</t>
  </si>
  <si>
    <t>Series Seed Preferred</t>
  </si>
  <si>
    <t>Series A Round</t>
  </si>
  <si>
    <t>Stephen Curry</t>
  </si>
  <si>
    <t>Series A Preferred</t>
  </si>
  <si>
    <t>SAFE / Convertible Note</t>
  </si>
  <si>
    <t>SAFE Amount</t>
  </si>
  <si>
    <t>Discount Rate</t>
  </si>
  <si>
    <t>Valuation Cap</t>
  </si>
  <si>
    <t>SAFE Investor Name</t>
  </si>
  <si>
    <t>Conversion Round</t>
  </si>
  <si>
    <t>Seed</t>
  </si>
  <si>
    <t>Jalen Brunson</t>
  </si>
  <si>
    <t>BROAD ASSUMPTIONS</t>
  </si>
  <si>
    <t>Shareholder</t>
  </si>
  <si>
    <t>Role</t>
  </si>
  <si>
    <t>Notes</t>
  </si>
  <si>
    <t>Common Share</t>
  </si>
  <si>
    <t>ESOP Pool</t>
  </si>
  <si>
    <t>TOTAL</t>
  </si>
  <si>
    <t>ROUND METRICS</t>
  </si>
  <si>
    <t>Total Issued Shares (Founders)</t>
  </si>
  <si>
    <t>ESOP Pool (Reserved, Unissued)</t>
  </si>
  <si>
    <t>Total Fully Diluted Shares</t>
  </si>
  <si>
    <t>SHAREHOLDER TABLE</t>
  </si>
  <si>
    <t>Shares Issued</t>
  </si>
  <si>
    <t>Shares Reserved (ESOP)</t>
  </si>
  <si>
    <t>% Ownership (Basic)</t>
  </si>
  <si>
    <t>% Ownership (Fully Diluted)</t>
  </si>
  <si>
    <t>CEO &amp; Co-Founder</t>
  </si>
  <si>
    <t>4-Year Vesting, 1-Year Cliff</t>
  </si>
  <si>
    <t>CTO &amp; Co-Founder</t>
  </si>
  <si>
    <t>Reserved for Employees</t>
  </si>
  <si>
    <t>Common Share (Unissued)</t>
  </si>
  <si>
    <t>—</t>
  </si>
  <si>
    <t>Unissued; Reserved for Future Grants</t>
  </si>
  <si>
    <t>SECTION 1 — SAFE / CONVERTIBLE NOTE CONVERSION</t>
  </si>
  <si>
    <t>Metric</t>
  </si>
  <si>
    <t>Value</t>
  </si>
  <si>
    <t>Formula / Notes</t>
  </si>
  <si>
    <t>SAFE Investor</t>
  </si>
  <si>
    <t>SAFE Amount (₹)</t>
  </si>
  <si>
    <t>Valuation Cap (₹)</t>
  </si>
  <si>
    <t>Converts At (Round)</t>
  </si>
  <si>
    <t>Pre-Seed Issued Shares</t>
  </si>
  <si>
    <t>Founders’ shares only (no ESOP)</t>
  </si>
  <si>
    <t>Seed Standard PPS (₹)</t>
  </si>
  <si>
    <t>= Pre-Money ÷ Pre-Seed Issued Shares</t>
  </si>
  <si>
    <t>Cap Conversion Price (₹)</t>
  </si>
  <si>
    <t>= Valuation Cap ÷ Pre-Seed Shares</t>
  </si>
  <si>
    <t>Discount Conversion Price (₹)</t>
  </si>
  <si>
    <t>= Seed PPS × (1 − Discount Rate)</t>
  </si>
  <si>
    <t>★ Effective Conversion Price (₹)</t>
  </si>
  <si>
    <t>= MIN(Cap, Discount) → Investor-favourable price</t>
  </si>
  <si>
    <t>★ SAFE Shares Issued</t>
  </si>
  <si>
    <t>= SAFE Amount ÷ Conversion Price</t>
  </si>
  <si>
    <t>SECTION 2 — SEED ROUND INVESTMENT</t>
  </si>
  <si>
    <t>Seed Investor</t>
  </si>
  <si>
    <t>Pre-Money Valuation (₹)</t>
  </si>
  <si>
    <t>Investment Amount (₹)</t>
  </si>
  <si>
    <t>Post-Money Valuation (₹)</t>
  </si>
  <si>
    <t>★ Price Per Share (₹)</t>
  </si>
  <si>
    <t>★ New Seed Shares Issued</t>
  </si>
  <si>
    <t>= Seed Investment ÷ PPS</t>
  </si>
  <si>
    <t>SECTION 3 — POST-SEED CAP TABLE</t>
  </si>
  <si>
    <t>Pre-Round Shares</t>
  </si>
  <si>
    <t>New Shares</t>
  </si>
  <si>
    <t>Post-Round Shares</t>
  </si>
  <si>
    <t>% Ownership (FD)</t>
  </si>
  <si>
    <t>No change this round</t>
  </si>
  <si>
    <t>SAFE Investor → Seed Preferred</t>
  </si>
  <si>
    <t>SAFE Conversion (see Sec. 1)</t>
  </si>
  <si>
    <t>SECTION 1 — SERIES A ROUND INVESTMENT</t>
  </si>
  <si>
    <t>Series A Investor</t>
  </si>
  <si>
    <t>Post-Seed Fully Diluted Shares</t>
  </si>
  <si>
    <t>All shares incl. ESOP, post-Seed</t>
  </si>
  <si>
    <t>= Pre-Money ÷ Post-Seed FD Shares</t>
  </si>
  <si>
    <t>★ New Series A Shares Issued</t>
  </si>
  <si>
    <t>= Series A Investment ÷ PPS</t>
  </si>
  <si>
    <t>SECTION 2 — POST-SERIES A CAP TABLE</t>
  </si>
  <si>
    <t>Post-Seed Shares</t>
  </si>
  <si>
    <t>New Shares (Series A)</t>
  </si>
  <si>
    <t>Post-Series A Shares</t>
  </si>
  <si>
    <t>No change</t>
  </si>
  <si>
    <t>SAFE / Seed Preferred</t>
  </si>
  <si>
    <t>Seed Preferred</t>
  </si>
  <si>
    <t>ROUND SUMMARY</t>
  </si>
  <si>
    <t>Round</t>
  </si>
  <si>
    <t>Pre-Money (₹)</t>
  </si>
  <si>
    <t>Investment (₹)</t>
  </si>
  <si>
    <t>Post-Money (₹)</t>
  </si>
  <si>
    <t>PPS (₹)</t>
  </si>
  <si>
    <t>Total FD Shares</t>
  </si>
  <si>
    <t>New Shares Issued</t>
  </si>
  <si>
    <t>Founding</t>
  </si>
  <si>
    <t>Seed Round</t>
  </si>
  <si>
    <t>Series A</t>
  </si>
  <si>
    <t>OWNERSHIP % WATERFALL — FULLY DILUTED</t>
  </si>
  <si>
    <t>Post-Founding</t>
  </si>
  <si>
    <t>Post-Seed</t>
  </si>
  <si>
    <t>Post-Series A</t>
  </si>
  <si>
    <t>Founder Dilution</t>
  </si>
  <si>
    <t>NOTE</t>
  </si>
  <si>
    <t>Made By~  Mayank Bharali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</si>
</sst>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\ * #,##0.00_);_(&quot;₹&quot;\ * \(#,##0.00\);_(&quot;₹&quot;\ * &quot;-&quot;??_);_(@_)"/>
    <numFmt numFmtId="164" formatCode="&quot;₹&quot;\ #,##0.00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i/>
      <sz val="11"/>
      <color rgb="FF595959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i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9" fontId="0" fillId="0" borderId="0" xfId="2" applyFont="1"/>
    <xf numFmtId="9" fontId="0" fillId="0" borderId="0" xfId="0" applyNumberFormat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0" xfId="0" applyNumberFormat="1" applyFont="1" applyFill="1"/>
    <xf numFmtId="0" fontId="6" fillId="2" borderId="0" xfId="0" applyFont="1" applyFill="1"/>
    <xf numFmtId="0" fontId="7" fillId="2" borderId="0" xfId="0" applyFont="1" applyFill="1" applyAlignment="1">
      <alignment horizontal="right"/>
    </xf>
    <xf numFmtId="14" fontId="7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7" fillId="2" borderId="0" xfId="0" applyNumberFormat="1" applyFont="1" applyFill="1"/>
    <xf numFmtId="44" fontId="7" fillId="2" borderId="0" xfId="1" applyFont="1" applyFill="1"/>
    <xf numFmtId="9" fontId="7" fillId="2" borderId="0" xfId="0" applyNumberFormat="1" applyFont="1" applyFill="1"/>
    <xf numFmtId="0" fontId="2" fillId="0" borderId="0" xfId="0" applyFont="1"/>
    <xf numFmtId="0" fontId="8" fillId="4" borderId="0" xfId="0" applyFont="1" applyFill="1"/>
    <xf numFmtId="0" fontId="0" fillId="4" borderId="0" xfId="0" applyFill="1"/>
    <xf numFmtId="0" fontId="9" fillId="5" borderId="0" xfId="0" applyFont="1" applyFill="1"/>
    <xf numFmtId="0" fontId="0" fillId="5" borderId="0" xfId="0" applyFill="1"/>
    <xf numFmtId="0" fontId="10" fillId="0" borderId="0" xfId="0" applyFont="1"/>
    <xf numFmtId="3" fontId="10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right"/>
    </xf>
    <xf numFmtId="165" fontId="0" fillId="0" borderId="0" xfId="0" applyNumberFormat="1"/>
    <xf numFmtId="0" fontId="11" fillId="0" borderId="0" xfId="0" applyFont="1"/>
    <xf numFmtId="0" fontId="0" fillId="0" borderId="0" xfId="0" applyAlignment="1">
      <alignment horizontal="center"/>
    </xf>
    <xf numFmtId="0" fontId="2" fillId="7" borderId="0" xfId="0" applyFont="1" applyFill="1"/>
    <xf numFmtId="0" fontId="0" fillId="7" borderId="0" xfId="0" applyFill="1"/>
    <xf numFmtId="3" fontId="2" fillId="7" borderId="0" xfId="0" applyNumberFormat="1" applyFont="1" applyFill="1"/>
    <xf numFmtId="165" fontId="2" fillId="7" borderId="0" xfId="0" applyNumberFormat="1" applyFont="1" applyFill="1"/>
    <xf numFmtId="9" fontId="10" fillId="0" borderId="0" xfId="0" applyNumberFormat="1" applyFont="1"/>
    <xf numFmtId="3" fontId="12" fillId="0" borderId="0" xfId="0" applyNumberFormat="1" applyFont="1"/>
    <xf numFmtId="0" fontId="13" fillId="0" borderId="0" xfId="0" applyFont="1"/>
    <xf numFmtId="4" fontId="0" fillId="0" borderId="0" xfId="0" applyNumberFormat="1"/>
    <xf numFmtId="0" fontId="13" fillId="0" borderId="0" xfId="0" quotePrefix="1" applyFont="1"/>
    <xf numFmtId="4" fontId="2" fillId="8" borderId="0" xfId="0" applyNumberFormat="1" applyFont="1" applyFill="1"/>
    <xf numFmtId="3" fontId="2" fillId="8" borderId="0" xfId="0" applyNumberFormat="1" applyFont="1" applyFill="1"/>
    <xf numFmtId="0" fontId="14" fillId="6" borderId="0" xfId="0" applyFont="1" applyFill="1"/>
    <xf numFmtId="4" fontId="12" fillId="0" borderId="0" xfId="0" applyNumberFormat="1" applyFont="1"/>
    <xf numFmtId="165" fontId="12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Ownership % Evolution — Fully Diluted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'Dilution Summary'!$B$21</c:f>
              <c:strCache>
                <c:ptCount val="1"/>
                <c:pt idx="0">
                  <c:v>Mayank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'Dilution Summary'!$A$22:$A$24</c:f>
              <c:strCache>
                <c:ptCount val="3"/>
                <c:pt idx="0">
                  <c:v>Post-Founding</c:v>
                </c:pt>
                <c:pt idx="1">
                  <c:v>Post-Seed</c:v>
                </c:pt>
                <c:pt idx="2">
                  <c:v>Post-Series A</c:v>
                </c:pt>
              </c:strCache>
            </c:strRef>
          </c:cat>
          <c:val>
            <c:numRef>
              <c:f>'Dilution Summary'!$B$22:$B$24</c:f>
              <c:numCache>
                <c:formatCode>0.0%</c:formatCode>
                <c:ptCount val="3"/>
                <c:pt idx="0">
                  <c:v>0.51</c:v>
                </c:pt>
                <c:pt idx="1">
                  <c:v>0.41696474195196731</c:v>
                </c:pt>
                <c:pt idx="2">
                  <c:v>0.34747061829330605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3-498C-AD6D-8B34BF3A9040}"/>
            </c:ext>
          </c:extLst>
        </c:ser>
        <c:ser>
          <c:idx val="1"/>
          <c:order val="1"/>
          <c:tx>
            <c:strRef>
              <c:f>'Dilution Summary'!$C$21</c:f>
              <c:strCache>
                <c:ptCount val="1"/>
                <c:pt idx="0">
                  <c:v>Rathin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'Dilution Summary'!$A$22:$A$24</c:f>
              <c:strCache>
                <c:ptCount val="3"/>
                <c:pt idx="0">
                  <c:v>Post-Founding</c:v>
                </c:pt>
                <c:pt idx="1">
                  <c:v>Post-Seed</c:v>
                </c:pt>
                <c:pt idx="2">
                  <c:v>Post-Series A</c:v>
                </c:pt>
              </c:strCache>
            </c:strRef>
          </c:cat>
          <c:val>
            <c:numRef>
              <c:f>'Dilution Summary'!$C$22:$C$24</c:f>
              <c:numCache>
                <c:formatCode>0.0%</c:formatCode>
                <c:ptCount val="3"/>
                <c:pt idx="0">
                  <c:v>0.34</c:v>
                </c:pt>
                <c:pt idx="1">
                  <c:v>0.27797649463464486</c:v>
                </c:pt>
                <c:pt idx="2">
                  <c:v>0.23164707886220406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3-498C-AD6D-8B34BF3A9040}"/>
            </c:ext>
          </c:extLst>
        </c:ser>
        <c:ser>
          <c:idx val="2"/>
          <c:order val="2"/>
          <c:tx>
            <c:strRef>
              <c:f>'Dilution Summary'!$D$21</c:f>
              <c:strCache>
                <c:ptCount val="1"/>
                <c:pt idx="0">
                  <c:v>ESOP Pool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'Dilution Summary'!$A$22:$A$24</c:f>
              <c:strCache>
                <c:ptCount val="3"/>
                <c:pt idx="0">
                  <c:v>Post-Founding</c:v>
                </c:pt>
                <c:pt idx="1">
                  <c:v>Post-Seed</c:v>
                </c:pt>
                <c:pt idx="2">
                  <c:v>Post-Series A</c:v>
                </c:pt>
              </c:strCache>
            </c:strRef>
          </c:cat>
          <c:val>
            <c:numRef>
              <c:f>'Dilution Summary'!$D$22:$D$24</c:f>
              <c:numCache>
                <c:formatCode>0.0%</c:formatCode>
                <c:ptCount val="3"/>
                <c:pt idx="0">
                  <c:v>0.15</c:v>
                </c:pt>
                <c:pt idx="1">
                  <c:v>0.12263668880940215</c:v>
                </c:pt>
                <c:pt idx="2">
                  <c:v>0.10219724067450178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3-498C-AD6D-8B34BF3A9040}"/>
            </c:ext>
          </c:extLst>
        </c:ser>
        <c:ser>
          <c:idx val="3"/>
          <c:order val="3"/>
          <c:tx>
            <c:strRef>
              <c:f>'Dilution Summary'!$E$21</c:f>
              <c:strCache>
                <c:ptCount val="1"/>
                <c:pt idx="0">
                  <c:v>Jalen Brunson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'Dilution Summary'!$A$22:$A$24</c:f>
              <c:strCache>
                <c:ptCount val="3"/>
                <c:pt idx="0">
                  <c:v>Post-Founding</c:v>
                </c:pt>
                <c:pt idx="1">
                  <c:v>Post-Seed</c:v>
                </c:pt>
                <c:pt idx="2">
                  <c:v>Post-Series A</c:v>
                </c:pt>
              </c:strCache>
            </c:strRef>
          </c:cat>
          <c:val>
            <c:numRef>
              <c:f>'Dilution Summary'!$E$22:$E$24</c:f>
              <c:numCache>
                <c:formatCode>0.0%</c:formatCode>
                <c:ptCount val="3"/>
                <c:pt idx="0">
                  <c:v>0</c:v>
                </c:pt>
                <c:pt idx="1">
                  <c:v>4.3433827286663257E-2</c:v>
                </c:pt>
                <c:pt idx="2">
                  <c:v>3.6194856072219381E-2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33-498C-AD6D-8B34BF3A9040}"/>
            </c:ext>
          </c:extLst>
        </c:ser>
        <c:ser>
          <c:idx val="4"/>
          <c:order val="4"/>
          <c:tx>
            <c:strRef>
              <c:f>'Dilution Summary'!$F$21</c:f>
              <c:strCache>
                <c:ptCount val="1"/>
                <c:pt idx="0">
                  <c:v>Lebron James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'Dilution Summary'!$A$22:$A$24</c:f>
              <c:strCache>
                <c:ptCount val="3"/>
                <c:pt idx="0">
                  <c:v>Post-Founding</c:v>
                </c:pt>
                <c:pt idx="1">
                  <c:v>Post-Seed</c:v>
                </c:pt>
                <c:pt idx="2">
                  <c:v>Post-Series A</c:v>
                </c:pt>
              </c:strCache>
            </c:strRef>
          </c:cat>
          <c:val>
            <c:numRef>
              <c:f>'Dilution Summary'!$F$22:$F$24</c:f>
              <c:numCache>
                <c:formatCode>0.0%</c:formatCode>
                <c:ptCount val="3"/>
                <c:pt idx="0">
                  <c:v>0</c:v>
                </c:pt>
                <c:pt idx="1">
                  <c:v>0.13898824731732243</c:v>
                </c:pt>
                <c:pt idx="2">
                  <c:v>0.11582353943110203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33-498C-AD6D-8B34BF3A9040}"/>
            </c:ext>
          </c:extLst>
        </c:ser>
        <c:ser>
          <c:idx val="5"/>
          <c:order val="5"/>
          <c:tx>
            <c:strRef>
              <c:f>'Dilution Summary'!$G$21</c:f>
              <c:strCache>
                <c:ptCount val="1"/>
                <c:pt idx="0">
                  <c:v>Stephen Curry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'Dilution Summary'!$A$22:$A$24</c:f>
              <c:strCache>
                <c:ptCount val="3"/>
                <c:pt idx="0">
                  <c:v>Post-Founding</c:v>
                </c:pt>
                <c:pt idx="1">
                  <c:v>Post-Seed</c:v>
                </c:pt>
                <c:pt idx="2">
                  <c:v>Post-Series A</c:v>
                </c:pt>
              </c:strCache>
            </c:strRef>
          </c:cat>
          <c:val>
            <c:numRef>
              <c:f>'Dilution Summary'!$G$22:$G$24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33-498C-AD6D-8B34BF3A9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8304927"/>
        <c:axId val="378303967"/>
      </c:barChart>
      <c:catAx>
        <c:axId val="37830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03967"/>
        <c:crosses val="autoZero"/>
        <c:auto val="1"/>
        <c:lblAlgn val="ctr"/>
        <c:lblOffset val="100"/>
        <c:noMultiLvlLbl val="0"/>
      </c:catAx>
      <c:valAx>
        <c:axId val="3783039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0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Dilution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'Dilution Summary'!$A$22</c:f>
              <c:strCache>
                <c:ptCount val="1"/>
                <c:pt idx="0">
                  <c:v>Post-Founding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'Dilution Summary'!$B$21:$G$21</c:f>
              <c:strCache>
                <c:ptCount val="6"/>
                <c:pt idx="0">
                  <c:v>Mayank</c:v>
                </c:pt>
                <c:pt idx="1">
                  <c:v>Rathin </c:v>
                </c:pt>
                <c:pt idx="2">
                  <c:v>ESOP Pool</c:v>
                </c:pt>
                <c:pt idx="3">
                  <c:v>Jalen Brunson</c:v>
                </c:pt>
                <c:pt idx="4">
                  <c:v>Lebron James</c:v>
                </c:pt>
                <c:pt idx="5">
                  <c:v>Stephen Curry</c:v>
                </c:pt>
              </c:strCache>
            </c:strRef>
          </c:cat>
          <c:val>
            <c:numRef>
              <c:f>'Dilution Summary'!$B$22:$G$22</c:f>
              <c:numCache>
                <c:formatCode>0.0%</c:formatCode>
                <c:ptCount val="6"/>
                <c:pt idx="0">
                  <c:v>0.51</c:v>
                </c:pt>
                <c:pt idx="1">
                  <c:v>0.34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1-4EEA-B514-F4827BE3CACF}"/>
            </c:ext>
          </c:extLst>
        </c:ser>
        <c:ser>
          <c:idx val="1"/>
          <c:order val="1"/>
          <c:tx>
            <c:strRef>
              <c:f>'Dilution Summary'!$A$23</c:f>
              <c:strCache>
                <c:ptCount val="1"/>
                <c:pt idx="0">
                  <c:v>Post-Seed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'Dilution Summary'!$B$21:$G$21</c:f>
              <c:strCache>
                <c:ptCount val="6"/>
                <c:pt idx="0">
                  <c:v>Mayank</c:v>
                </c:pt>
                <c:pt idx="1">
                  <c:v>Rathin </c:v>
                </c:pt>
                <c:pt idx="2">
                  <c:v>ESOP Pool</c:v>
                </c:pt>
                <c:pt idx="3">
                  <c:v>Jalen Brunson</c:v>
                </c:pt>
                <c:pt idx="4">
                  <c:v>Lebron James</c:v>
                </c:pt>
                <c:pt idx="5">
                  <c:v>Stephen Curry</c:v>
                </c:pt>
              </c:strCache>
            </c:strRef>
          </c:cat>
          <c:val>
            <c:numRef>
              <c:f>'Dilution Summary'!$B$23:$G$23</c:f>
              <c:numCache>
                <c:formatCode>0.0%</c:formatCode>
                <c:ptCount val="6"/>
                <c:pt idx="0">
                  <c:v>0.41696474195196731</c:v>
                </c:pt>
                <c:pt idx="1">
                  <c:v>0.27797649463464486</c:v>
                </c:pt>
                <c:pt idx="2">
                  <c:v>0.12263668880940215</c:v>
                </c:pt>
                <c:pt idx="3">
                  <c:v>4.3433827286663257E-2</c:v>
                </c:pt>
                <c:pt idx="4">
                  <c:v>0.13898824731732243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1-4EEA-B514-F4827BE3CACF}"/>
            </c:ext>
          </c:extLst>
        </c:ser>
        <c:ser>
          <c:idx val="2"/>
          <c:order val="2"/>
          <c:tx>
            <c:strRef>
              <c:f>'Dilution Summary'!$A$24</c:f>
              <c:strCache>
                <c:ptCount val="1"/>
                <c:pt idx="0">
                  <c:v>Post-Series A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'Dilution Summary'!$B$21:$G$21</c:f>
              <c:strCache>
                <c:ptCount val="6"/>
                <c:pt idx="0">
                  <c:v>Mayank</c:v>
                </c:pt>
                <c:pt idx="1">
                  <c:v>Rathin </c:v>
                </c:pt>
                <c:pt idx="2">
                  <c:v>ESOP Pool</c:v>
                </c:pt>
                <c:pt idx="3">
                  <c:v>Jalen Brunson</c:v>
                </c:pt>
                <c:pt idx="4">
                  <c:v>Lebron James</c:v>
                </c:pt>
                <c:pt idx="5">
                  <c:v>Stephen Curry</c:v>
                </c:pt>
              </c:strCache>
            </c:strRef>
          </c:cat>
          <c:val>
            <c:numRef>
              <c:f>'Dilution Summary'!$B$24:$G$24</c:f>
              <c:numCache>
                <c:formatCode>0.0%</c:formatCode>
                <c:ptCount val="6"/>
                <c:pt idx="0">
                  <c:v>0.34747061829330605</c:v>
                </c:pt>
                <c:pt idx="1">
                  <c:v>0.23164707886220406</c:v>
                </c:pt>
                <c:pt idx="2">
                  <c:v>0.10219724067450178</c:v>
                </c:pt>
                <c:pt idx="3">
                  <c:v>3.6194856072219381E-2</c:v>
                </c:pt>
                <c:pt idx="4">
                  <c:v>0.11582353943110203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D1-4EEA-B514-F4827BE3C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18714271"/>
        <c:axId val="118711871"/>
      </c:barChart>
      <c:catAx>
        <c:axId val="11871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1871"/>
        <c:crosses val="autoZero"/>
        <c:auto val="1"/>
        <c:lblAlgn val="ctr"/>
        <c:lblOffset val="100"/>
        <c:noMultiLvlLbl val="0"/>
      </c:catAx>
      <c:valAx>
        <c:axId val="11871187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93980</xdr:rowOff>
    </xdr:from>
    <xdr:to>
      <xdr:col>6</xdr:col>
      <xdr:colOff>703580</xdr:colOff>
      <xdr:row>56</xdr:row>
      <xdr:rowOff>134620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6A8E5-81A6-7D9F-75D9-F2C480AC4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91440</xdr:colOff>
      <xdr:row>4</xdr:row>
      <xdr:rowOff>0</xdr:rowOff>
    </xdr:from>
    <xdr:to>
      <xdr:col>14</xdr:col>
      <xdr:colOff>396240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054CE-200C-6FBC-E27B-2EFDBF036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6</xdr:col>
      <xdr:colOff>601980</xdr:colOff>
      <xdr:row>12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E93A3D-A735-DA6C-5D04-2497FC37205D}"/>
            </a:ext>
          </a:extLst>
        </xdr:cNvPr>
        <xdr:cNvSpPr txBox="1"/>
      </xdr:nvSpPr>
      <xdr:spPr>
        <a:xfrm>
          <a:off x="0" y="373380"/>
          <a:ext cx="4259580" cy="1988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This Cap Table and Dilution Model is built for an imaginary company "XYZ". The purpose of this model is to showcase the process of</a:t>
          </a:r>
          <a:r>
            <a:rPr lang="en-IN" sz="1100" baseline="0"/>
            <a:t> founders' capital dilution across a three round funding journey</a:t>
          </a:r>
          <a:r>
            <a:rPr lang="en-IN"/>
            <a:t>(Founding → Seed → Series A), including SAFE note conversion mechanics and a comparison of valuation cap versus discount rate to derive the investor-favourable conversion price.</a:t>
          </a:r>
        </a:p>
        <a:p>
          <a:r>
            <a:rPr lang="en-IN"/>
            <a:t>Assumptions are based on industry benchmarks, researched independently and cross-checked using Claude AI. The model's structure, formulas, and dilution logic were built and reasoned through manually, with Claude Pro used to support research and validate concepts along the way.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981917-5BFD-49CE-93F2-192F7B2C4B9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f0d04d43-b993-4047-b92b-d68e73078530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6FC2-B914-4972-9A1F-79D3960A7547}">
  <dimension ref="A1:C42"/>
  <sheetViews>
    <sheetView tabSelected="1" zoomScaleNormal="100" workbookViewId="0">
      <selection activeCell="F9" sqref="F9"/>
    </sheetView>
  </sheetViews>
  <sheetFormatPr defaultRowHeight="14.4" x14ac:dyDescent="0.3"/>
  <cols>
    <col min="1" max="1" width="20" bestFit="1" customWidth="1"/>
    <col min="2" max="2" width="19.88671875" bestFit="1" customWidth="1"/>
    <col min="3" max="3" width="13.44140625" bestFit="1" customWidth="1"/>
  </cols>
  <sheetData>
    <row r="1" spans="1:3" ht="14.4" customHeight="1" x14ac:dyDescent="0.3">
      <c r="A1" s="45" t="s">
        <v>39</v>
      </c>
      <c r="B1" s="46"/>
    </row>
    <row r="2" spans="1:3" x14ac:dyDescent="0.3">
      <c r="A2" s="46"/>
      <c r="B2" s="46"/>
    </row>
    <row r="3" spans="1:3" x14ac:dyDescent="0.3">
      <c r="A3" s="8" t="s">
        <v>11</v>
      </c>
      <c r="B3" s="4"/>
    </row>
    <row r="4" spans="1:3" x14ac:dyDescent="0.3">
      <c r="A4" s="3" t="s">
        <v>0</v>
      </c>
      <c r="B4" s="9" t="s">
        <v>12</v>
      </c>
    </row>
    <row r="5" spans="1:3" x14ac:dyDescent="0.3">
      <c r="A5" s="3" t="s">
        <v>9</v>
      </c>
      <c r="B5" s="9" t="s">
        <v>13</v>
      </c>
    </row>
    <row r="6" spans="1:3" x14ac:dyDescent="0.3">
      <c r="A6" s="3" t="s">
        <v>10</v>
      </c>
      <c r="B6" s="10">
        <v>46188</v>
      </c>
    </row>
    <row r="7" spans="1:3" x14ac:dyDescent="0.3">
      <c r="A7" s="3"/>
      <c r="B7" s="5"/>
    </row>
    <row r="8" spans="1:3" x14ac:dyDescent="0.3">
      <c r="A8" s="8" t="s">
        <v>5</v>
      </c>
      <c r="B8" s="4"/>
    </row>
    <row r="9" spans="1:3" x14ac:dyDescent="0.3">
      <c r="A9" s="3" t="s">
        <v>1</v>
      </c>
      <c r="B9" s="9">
        <v>10000000</v>
      </c>
      <c r="C9" s="1"/>
    </row>
    <row r="10" spans="1:3" x14ac:dyDescent="0.3">
      <c r="A10" s="3" t="s">
        <v>6</v>
      </c>
      <c r="B10" s="9">
        <v>8500000</v>
      </c>
      <c r="C10" s="1"/>
    </row>
    <row r="11" spans="1:3" x14ac:dyDescent="0.3">
      <c r="A11" s="3" t="s">
        <v>7</v>
      </c>
      <c r="B11" s="11">
        <v>0.15</v>
      </c>
      <c r="C11" s="2"/>
    </row>
    <row r="12" spans="1:3" x14ac:dyDescent="0.3">
      <c r="A12" s="3" t="s">
        <v>8</v>
      </c>
      <c r="B12" s="4">
        <f>B9*B11</f>
        <v>1500000</v>
      </c>
    </row>
    <row r="13" spans="1:3" x14ac:dyDescent="0.3">
      <c r="A13" s="3"/>
      <c r="B13" s="4"/>
    </row>
    <row r="14" spans="1:3" x14ac:dyDescent="0.3">
      <c r="A14" s="8" t="s">
        <v>14</v>
      </c>
      <c r="B14" s="4"/>
    </row>
    <row r="15" spans="1:3" x14ac:dyDescent="0.3">
      <c r="A15" s="3" t="s">
        <v>2</v>
      </c>
      <c r="B15" s="9" t="s">
        <v>3</v>
      </c>
    </row>
    <row r="16" spans="1:3" x14ac:dyDescent="0.3">
      <c r="A16" s="3" t="s">
        <v>15</v>
      </c>
      <c r="B16" s="11">
        <v>0.6</v>
      </c>
    </row>
    <row r="17" spans="1:2" x14ac:dyDescent="0.3">
      <c r="A17" s="3" t="s">
        <v>18</v>
      </c>
      <c r="B17" s="4">
        <f>$B$10*$B$16</f>
        <v>5100000</v>
      </c>
    </row>
    <row r="18" spans="1:2" x14ac:dyDescent="0.3">
      <c r="A18" s="3" t="s">
        <v>16</v>
      </c>
      <c r="B18" s="9" t="s">
        <v>4</v>
      </c>
    </row>
    <row r="19" spans="1:2" x14ac:dyDescent="0.3">
      <c r="A19" s="3" t="s">
        <v>17</v>
      </c>
      <c r="B19" s="11">
        <v>0.4</v>
      </c>
    </row>
    <row r="20" spans="1:2" x14ac:dyDescent="0.3">
      <c r="A20" s="3" t="s">
        <v>19</v>
      </c>
      <c r="B20" s="4">
        <f>$B$10*$B$19</f>
        <v>3400000</v>
      </c>
    </row>
    <row r="21" spans="1:2" x14ac:dyDescent="0.3">
      <c r="A21" s="3"/>
      <c r="B21" s="4"/>
    </row>
    <row r="22" spans="1:2" x14ac:dyDescent="0.3">
      <c r="A22" s="3"/>
      <c r="B22" s="4"/>
    </row>
    <row r="23" spans="1:2" x14ac:dyDescent="0.3">
      <c r="A23" s="8" t="s">
        <v>20</v>
      </c>
      <c r="B23" s="4"/>
    </row>
    <row r="24" spans="1:2" x14ac:dyDescent="0.3">
      <c r="A24" s="3" t="s">
        <v>21</v>
      </c>
      <c r="B24" s="12">
        <v>50000000</v>
      </c>
    </row>
    <row r="25" spans="1:2" x14ac:dyDescent="0.3">
      <c r="A25" s="3" t="s">
        <v>22</v>
      </c>
      <c r="B25" s="12">
        <v>10000000</v>
      </c>
    </row>
    <row r="26" spans="1:2" x14ac:dyDescent="0.3">
      <c r="A26" s="3" t="s">
        <v>23</v>
      </c>
      <c r="B26" s="6">
        <f>SUM(B24:B25)</f>
        <v>60000000</v>
      </c>
    </row>
    <row r="27" spans="1:2" x14ac:dyDescent="0.3">
      <c r="A27" s="3" t="s">
        <v>24</v>
      </c>
      <c r="B27" s="9" t="s">
        <v>26</v>
      </c>
    </row>
    <row r="28" spans="1:2" x14ac:dyDescent="0.3">
      <c r="A28" s="3" t="s">
        <v>25</v>
      </c>
      <c r="B28" s="9" t="s">
        <v>27</v>
      </c>
    </row>
    <row r="29" spans="1:2" x14ac:dyDescent="0.3">
      <c r="A29" s="3"/>
      <c r="B29" s="3"/>
    </row>
    <row r="30" spans="1:2" x14ac:dyDescent="0.3">
      <c r="A30" s="8" t="s">
        <v>28</v>
      </c>
      <c r="B30" s="3"/>
    </row>
    <row r="31" spans="1:2" x14ac:dyDescent="0.3">
      <c r="A31" s="3" t="s">
        <v>21</v>
      </c>
      <c r="B31" s="13">
        <v>250000000</v>
      </c>
    </row>
    <row r="32" spans="1:2" x14ac:dyDescent="0.3">
      <c r="A32" s="3" t="s">
        <v>22</v>
      </c>
      <c r="B32" s="13">
        <v>50000000</v>
      </c>
    </row>
    <row r="33" spans="1:2" x14ac:dyDescent="0.3">
      <c r="A33" s="3" t="s">
        <v>23</v>
      </c>
      <c r="B33" s="7">
        <f>SUM(B31:B32)</f>
        <v>300000000</v>
      </c>
    </row>
    <row r="34" spans="1:2" x14ac:dyDescent="0.3">
      <c r="A34" s="3" t="s">
        <v>24</v>
      </c>
      <c r="B34" s="9" t="s">
        <v>29</v>
      </c>
    </row>
    <row r="35" spans="1:2" x14ac:dyDescent="0.3">
      <c r="A35" s="3" t="s">
        <v>25</v>
      </c>
      <c r="B35" s="9" t="s">
        <v>30</v>
      </c>
    </row>
    <row r="36" spans="1:2" x14ac:dyDescent="0.3">
      <c r="A36" s="3"/>
      <c r="B36" s="3"/>
    </row>
    <row r="37" spans="1:2" x14ac:dyDescent="0.3">
      <c r="A37" s="8" t="s">
        <v>31</v>
      </c>
      <c r="B37" s="3"/>
    </row>
    <row r="38" spans="1:2" x14ac:dyDescent="0.3">
      <c r="A38" s="3" t="s">
        <v>32</v>
      </c>
      <c r="B38" s="14">
        <v>2500000</v>
      </c>
    </row>
    <row r="39" spans="1:2" x14ac:dyDescent="0.3">
      <c r="A39" s="3" t="s">
        <v>33</v>
      </c>
      <c r="B39" s="15">
        <v>0.2</v>
      </c>
    </row>
    <row r="40" spans="1:2" x14ac:dyDescent="0.3">
      <c r="A40" s="3" t="s">
        <v>34</v>
      </c>
      <c r="B40" s="14">
        <v>40000000</v>
      </c>
    </row>
    <row r="41" spans="1:2" x14ac:dyDescent="0.3">
      <c r="A41" s="3" t="s">
        <v>35</v>
      </c>
      <c r="B41" s="9" t="s">
        <v>38</v>
      </c>
    </row>
    <row r="42" spans="1:2" x14ac:dyDescent="0.3">
      <c r="A42" s="3" t="s">
        <v>36</v>
      </c>
      <c r="B42" s="9" t="s">
        <v>37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6AB3-6FE2-4BB6-A32E-52478B639517}">
  <dimension ref="A1:H15"/>
  <sheetViews>
    <sheetView workbookViewId="0">
      <selection activeCell="D15" sqref="D15"/>
    </sheetView>
  </sheetViews>
  <sheetFormatPr defaultRowHeight="14.4" x14ac:dyDescent="0.3"/>
  <cols>
    <col min="1" max="1" width="35.6640625" bestFit="1" customWidth="1"/>
    <col min="2" max="2" width="20.88671875" bestFit="1" customWidth="1"/>
    <col min="3" max="3" width="22.5546875" bestFit="1" customWidth="1"/>
    <col min="4" max="4" width="12.44140625" bestFit="1" customWidth="1"/>
    <col min="5" max="5" width="21.109375" bestFit="1" customWidth="1"/>
    <col min="6" max="6" width="18.21875" bestFit="1" customWidth="1"/>
    <col min="7" max="7" width="24.21875" bestFit="1" customWidth="1"/>
    <col min="8" max="8" width="31.77734375" bestFit="1" customWidth="1"/>
  </cols>
  <sheetData>
    <row r="1" spans="1:8" ht="14.4" customHeight="1" x14ac:dyDescent="0.35">
      <c r="A1" s="17" t="str">
        <f>"Founding Round Cap Table — "&amp;'Assumptions &amp; Inputs'!B4</f>
        <v>Founding Round Cap Table — XYZ</v>
      </c>
      <c r="B1" s="18"/>
      <c r="C1" s="18"/>
      <c r="D1" s="18"/>
      <c r="E1" s="18"/>
      <c r="F1" s="18"/>
      <c r="G1" s="18"/>
      <c r="H1" s="18"/>
    </row>
    <row r="2" spans="1:8" ht="14.4" customHeight="1" x14ac:dyDescent="0.3"/>
    <row r="3" spans="1:8" x14ac:dyDescent="0.3">
      <c r="A3" s="19" t="s">
        <v>46</v>
      </c>
      <c r="B3" s="20"/>
    </row>
    <row r="4" spans="1:8" x14ac:dyDescent="0.3">
      <c r="A4" t="s">
        <v>1</v>
      </c>
      <c r="B4" s="22">
        <f>'Assumptions &amp; Inputs'!B9</f>
        <v>10000000</v>
      </c>
    </row>
    <row r="5" spans="1:8" x14ac:dyDescent="0.3">
      <c r="A5" t="s">
        <v>47</v>
      </c>
      <c r="B5" s="22">
        <f>'Assumptions &amp; Inputs'!B10</f>
        <v>8500000</v>
      </c>
    </row>
    <row r="6" spans="1:8" x14ac:dyDescent="0.3">
      <c r="A6" t="s">
        <v>48</v>
      </c>
      <c r="B6" s="22">
        <f>'Assumptions &amp; Inputs'!B12</f>
        <v>1500000</v>
      </c>
    </row>
    <row r="7" spans="1:8" x14ac:dyDescent="0.3">
      <c r="A7" t="s">
        <v>49</v>
      </c>
      <c r="B7" s="24">
        <f>B5+B6</f>
        <v>10000000</v>
      </c>
    </row>
    <row r="8" spans="1:8" x14ac:dyDescent="0.3">
      <c r="B8" s="16"/>
    </row>
    <row r="9" spans="1:8" x14ac:dyDescent="0.3">
      <c r="A9" s="19" t="s">
        <v>50</v>
      </c>
      <c r="B9" s="25"/>
      <c r="C9" s="20"/>
      <c r="D9" s="20"/>
      <c r="E9" s="20"/>
      <c r="F9" s="20"/>
      <c r="G9" s="20"/>
      <c r="H9" s="20"/>
    </row>
    <row r="10" spans="1:8" x14ac:dyDescent="0.3">
      <c r="A10" s="26" t="s">
        <v>40</v>
      </c>
      <c r="B10" s="26" t="s">
        <v>41</v>
      </c>
      <c r="C10" s="26" t="s">
        <v>25</v>
      </c>
      <c r="D10" s="27" t="s">
        <v>51</v>
      </c>
      <c r="E10" s="27" t="s">
        <v>52</v>
      </c>
      <c r="F10" s="27" t="s">
        <v>53</v>
      </c>
      <c r="G10" s="27" t="s">
        <v>54</v>
      </c>
      <c r="H10" s="27" t="s">
        <v>42</v>
      </c>
    </row>
    <row r="11" spans="1:8" x14ac:dyDescent="0.3">
      <c r="A11" s="21" t="str">
        <f>'Assumptions &amp; Inputs'!B15</f>
        <v>Mayank</v>
      </c>
      <c r="B11" s="16" t="s">
        <v>55</v>
      </c>
      <c r="C11" t="s">
        <v>43</v>
      </c>
      <c r="D11" s="22">
        <f>'Assumptions &amp; Inputs'!B17</f>
        <v>5100000</v>
      </c>
      <c r="E11" s="23">
        <v>0</v>
      </c>
      <c r="F11" s="28">
        <f>D11/D$15</f>
        <v>0.6</v>
      </c>
      <c r="G11" s="28">
        <f>D11/(D$15+E$13)</f>
        <v>0.51</v>
      </c>
      <c r="H11" s="29" t="s">
        <v>56</v>
      </c>
    </row>
    <row r="12" spans="1:8" x14ac:dyDescent="0.3">
      <c r="A12" s="21" t="str">
        <f>'Assumptions &amp; Inputs'!B18</f>
        <v xml:space="preserve">Rathin </v>
      </c>
      <c r="B12" s="16" t="s">
        <v>57</v>
      </c>
      <c r="C12" t="s">
        <v>43</v>
      </c>
      <c r="D12" s="22">
        <f>'Assumptions &amp; Inputs'!B20</f>
        <v>3400000</v>
      </c>
      <c r="E12" s="23">
        <v>0</v>
      </c>
      <c r="F12" s="28">
        <f>D12/D$15</f>
        <v>0.4</v>
      </c>
      <c r="G12" s="28">
        <f>D12/(D$15+E$13)</f>
        <v>0.34</v>
      </c>
      <c r="H12" s="29" t="s">
        <v>56</v>
      </c>
    </row>
    <row r="13" spans="1:8" x14ac:dyDescent="0.3">
      <c r="A13" t="s">
        <v>44</v>
      </c>
      <c r="B13" s="16" t="s">
        <v>58</v>
      </c>
      <c r="C13" t="s">
        <v>59</v>
      </c>
      <c r="D13" s="23">
        <v>0</v>
      </c>
      <c r="E13" s="22">
        <f>'Assumptions &amp; Inputs'!B12</f>
        <v>1500000</v>
      </c>
      <c r="F13" s="30" t="s">
        <v>60</v>
      </c>
      <c r="G13" s="28">
        <f>E13/(D$15+E$13)</f>
        <v>0.15</v>
      </c>
      <c r="H13" s="29" t="s">
        <v>61</v>
      </c>
    </row>
    <row r="14" spans="1:8" x14ac:dyDescent="0.3">
      <c r="B14" s="16"/>
    </row>
    <row r="15" spans="1:8" x14ac:dyDescent="0.3">
      <c r="A15" s="31" t="s">
        <v>45</v>
      </c>
      <c r="B15" s="32"/>
      <c r="C15" s="32"/>
      <c r="D15" s="33">
        <f>D11+D12</f>
        <v>8500000</v>
      </c>
      <c r="E15" s="33">
        <f>E13</f>
        <v>1500000</v>
      </c>
      <c r="F15" s="34">
        <f>F11+F12</f>
        <v>1</v>
      </c>
      <c r="G15" s="34">
        <f>G11+G12+G13</f>
        <v>1</v>
      </c>
      <c r="H1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1F1F-E2A7-4B46-BF04-B615CAA7C8B4}">
  <dimension ref="A1:I36"/>
  <sheetViews>
    <sheetView topLeftCell="A3" workbookViewId="0">
      <selection activeCell="F36" sqref="F36"/>
    </sheetView>
  </sheetViews>
  <sheetFormatPr defaultRowHeight="14.4" x14ac:dyDescent="0.3"/>
  <cols>
    <col min="1" max="1" width="46.88671875" bestFit="1" customWidth="1"/>
    <col min="2" max="2" width="26.109375" bestFit="1" customWidth="1"/>
    <col min="3" max="3" width="40.77734375" bestFit="1" customWidth="1"/>
    <col min="4" max="4" width="15.77734375" bestFit="1" customWidth="1"/>
    <col min="5" max="5" width="10.6640625" bestFit="1" customWidth="1"/>
    <col min="6" max="6" width="16.6640625" bestFit="1" customWidth="1"/>
    <col min="7" max="7" width="18.21875" bestFit="1" customWidth="1"/>
    <col min="8" max="8" width="15.77734375" bestFit="1" customWidth="1"/>
    <col min="9" max="9" width="25" bestFit="1" customWidth="1"/>
  </cols>
  <sheetData>
    <row r="1" spans="1:9" ht="17.399999999999999" x14ac:dyDescent="0.35">
      <c r="A1" s="17" t="str">
        <f>"Seed Round Cap Table — "&amp;'Assumptions &amp; Inputs'!B4</f>
        <v>Seed Round Cap Table — XYZ</v>
      </c>
      <c r="B1" s="18"/>
      <c r="C1" s="18"/>
      <c r="D1" s="18"/>
      <c r="E1" s="18"/>
      <c r="F1" s="18"/>
      <c r="G1" s="18"/>
      <c r="H1" s="18"/>
      <c r="I1" s="18"/>
    </row>
    <row r="3" spans="1:9" x14ac:dyDescent="0.3">
      <c r="A3" s="19" t="s">
        <v>62</v>
      </c>
      <c r="B3" s="20"/>
      <c r="C3" s="20"/>
    </row>
    <row r="4" spans="1:9" x14ac:dyDescent="0.3">
      <c r="A4" s="26" t="s">
        <v>63</v>
      </c>
      <c r="B4" s="26" t="s">
        <v>64</v>
      </c>
      <c r="C4" s="26" t="s">
        <v>65</v>
      </c>
    </row>
    <row r="5" spans="1:9" x14ac:dyDescent="0.3">
      <c r="A5" t="s">
        <v>66</v>
      </c>
      <c r="B5" s="21" t="str">
        <f>'Assumptions &amp; Inputs'!B41</f>
        <v>Jalen Brunson</v>
      </c>
    </row>
    <row r="6" spans="1:9" x14ac:dyDescent="0.3">
      <c r="A6" t="s">
        <v>67</v>
      </c>
      <c r="B6" s="22">
        <f>'Assumptions &amp; Inputs'!B38</f>
        <v>2500000</v>
      </c>
    </row>
    <row r="7" spans="1:9" x14ac:dyDescent="0.3">
      <c r="A7" t="s">
        <v>68</v>
      </c>
      <c r="B7" s="22">
        <f>'Assumptions &amp; Inputs'!B40</f>
        <v>40000000</v>
      </c>
    </row>
    <row r="8" spans="1:9" x14ac:dyDescent="0.3">
      <c r="A8" t="s">
        <v>33</v>
      </c>
      <c r="B8" s="35">
        <f>'Assumptions &amp; Inputs'!B39</f>
        <v>0.2</v>
      </c>
    </row>
    <row r="9" spans="1:9" x14ac:dyDescent="0.3">
      <c r="A9" t="s">
        <v>69</v>
      </c>
      <c r="B9" s="21" t="str">
        <f>'Assumptions &amp; Inputs'!B42</f>
        <v>Seed</v>
      </c>
    </row>
    <row r="11" spans="1:9" x14ac:dyDescent="0.3">
      <c r="A11" t="s">
        <v>70</v>
      </c>
      <c r="B11" s="36">
        <f>'Founding Cap Table'!D15</f>
        <v>8500000</v>
      </c>
      <c r="C11" s="37" t="s">
        <v>71</v>
      </c>
    </row>
    <row r="12" spans="1:9" x14ac:dyDescent="0.3">
      <c r="A12" t="s">
        <v>72</v>
      </c>
      <c r="B12" s="38">
        <f>'Assumptions &amp; Inputs'!B24/'Founding Cap Table'!D15</f>
        <v>5.882352941176471</v>
      </c>
      <c r="C12" s="39" t="s">
        <v>73</v>
      </c>
    </row>
    <row r="13" spans="1:9" x14ac:dyDescent="0.3">
      <c r="A13" t="s">
        <v>74</v>
      </c>
      <c r="B13" s="38">
        <f>'Assumptions &amp; Inputs'!B40/'Founding Cap Table'!D15</f>
        <v>4.7058823529411766</v>
      </c>
      <c r="C13" s="39" t="s">
        <v>75</v>
      </c>
    </row>
    <row r="14" spans="1:9" x14ac:dyDescent="0.3">
      <c r="A14" t="s">
        <v>76</v>
      </c>
      <c r="B14" s="38">
        <f>B12*(1-'Assumptions &amp; Inputs'!B39)</f>
        <v>4.7058823529411766</v>
      </c>
      <c r="C14" s="39" t="s">
        <v>77</v>
      </c>
    </row>
    <row r="15" spans="1:9" x14ac:dyDescent="0.3">
      <c r="A15" s="16" t="s">
        <v>78</v>
      </c>
      <c r="B15" s="40">
        <f>MIN(B13,B14)</f>
        <v>4.7058823529411766</v>
      </c>
      <c r="C15" s="39" t="s">
        <v>79</v>
      </c>
    </row>
    <row r="16" spans="1:9" x14ac:dyDescent="0.3">
      <c r="A16" s="16" t="s">
        <v>80</v>
      </c>
      <c r="B16" s="41">
        <f>ROUND('Assumptions &amp; Inputs'!B38/B15,0)</f>
        <v>531250</v>
      </c>
      <c r="C16" s="39" t="s">
        <v>81</v>
      </c>
    </row>
    <row r="18" spans="1:9" x14ac:dyDescent="0.3">
      <c r="A18" s="19" t="s">
        <v>82</v>
      </c>
      <c r="B18" s="20"/>
      <c r="C18" s="20"/>
    </row>
    <row r="19" spans="1:9" x14ac:dyDescent="0.3">
      <c r="A19" s="26" t="s">
        <v>63</v>
      </c>
      <c r="B19" s="26" t="s">
        <v>64</v>
      </c>
      <c r="C19" s="42" t="s">
        <v>65</v>
      </c>
    </row>
    <row r="20" spans="1:9" x14ac:dyDescent="0.3">
      <c r="A20" t="s">
        <v>83</v>
      </c>
      <c r="B20" s="21" t="str">
        <f>'Assumptions &amp; Inputs'!B27</f>
        <v>Lebron James</v>
      </c>
    </row>
    <row r="21" spans="1:9" x14ac:dyDescent="0.3">
      <c r="A21" t="s">
        <v>25</v>
      </c>
      <c r="B21" s="21" t="str">
        <f>'Assumptions &amp; Inputs'!B28</f>
        <v>Series Seed Preferred</v>
      </c>
    </row>
    <row r="22" spans="1:9" x14ac:dyDescent="0.3">
      <c r="A22" t="s">
        <v>84</v>
      </c>
      <c r="B22" s="22">
        <f>'Assumptions &amp; Inputs'!B24</f>
        <v>50000000</v>
      </c>
    </row>
    <row r="23" spans="1:9" x14ac:dyDescent="0.3">
      <c r="A23" t="s">
        <v>85</v>
      </c>
      <c r="B23" s="22">
        <f>'Assumptions &amp; Inputs'!B25</f>
        <v>10000000</v>
      </c>
    </row>
    <row r="24" spans="1:9" x14ac:dyDescent="0.3">
      <c r="A24" t="s">
        <v>86</v>
      </c>
      <c r="B24" s="22">
        <f>'Assumptions &amp; Inputs'!B26</f>
        <v>60000000</v>
      </c>
    </row>
    <row r="25" spans="1:9" x14ac:dyDescent="0.3">
      <c r="A25" s="16" t="s">
        <v>87</v>
      </c>
      <c r="B25" s="40">
        <f>'Assumptions &amp; Inputs'!B24/'Founding Cap Table'!D15</f>
        <v>5.882352941176471</v>
      </c>
      <c r="C25" s="39" t="s">
        <v>73</v>
      </c>
    </row>
    <row r="26" spans="1:9" x14ac:dyDescent="0.3">
      <c r="A26" s="16" t="s">
        <v>88</v>
      </c>
      <c r="B26" s="41">
        <f>ROUND('Assumptions &amp; Inputs'!B25/B25,0)</f>
        <v>1700000</v>
      </c>
      <c r="C26" s="39" t="s">
        <v>89</v>
      </c>
    </row>
    <row r="28" spans="1:9" x14ac:dyDescent="0.3">
      <c r="A28" s="19" t="s">
        <v>90</v>
      </c>
      <c r="B28" s="20"/>
      <c r="C28" s="20"/>
      <c r="D28" s="20"/>
      <c r="E28" s="20"/>
      <c r="F28" s="20"/>
      <c r="G28" s="20"/>
      <c r="H28" s="20"/>
      <c r="I28" s="20"/>
    </row>
    <row r="29" spans="1:9" x14ac:dyDescent="0.3">
      <c r="A29" s="26" t="s">
        <v>40</v>
      </c>
      <c r="B29" s="26" t="s">
        <v>41</v>
      </c>
      <c r="C29" s="26" t="s">
        <v>25</v>
      </c>
      <c r="D29" s="27" t="s">
        <v>91</v>
      </c>
      <c r="E29" s="27" t="s">
        <v>92</v>
      </c>
      <c r="F29" s="27" t="s">
        <v>93</v>
      </c>
      <c r="G29" s="27" t="s">
        <v>53</v>
      </c>
      <c r="H29" s="27" t="s">
        <v>94</v>
      </c>
      <c r="I29" s="27" t="s">
        <v>42</v>
      </c>
    </row>
    <row r="30" spans="1:9" x14ac:dyDescent="0.3">
      <c r="A30" s="21" t="str">
        <f>'Assumptions &amp; Inputs'!B15</f>
        <v>Mayank</v>
      </c>
      <c r="B30" t="s">
        <v>55</v>
      </c>
      <c r="C30" t="s">
        <v>43</v>
      </c>
      <c r="D30" s="36">
        <f>'Founding Cap Table'!D11</f>
        <v>5100000</v>
      </c>
      <c r="E30" s="23">
        <v>0</v>
      </c>
      <c r="F30" s="23">
        <f>D30+E30</f>
        <v>5100000</v>
      </c>
      <c r="G30" s="28">
        <f>F30/($F$36-$F$32)</f>
        <v>0.47524752475247523</v>
      </c>
      <c r="H30" s="28">
        <f>F30/$F$36</f>
        <v>0.41696474195196731</v>
      </c>
      <c r="I30" s="29" t="s">
        <v>56</v>
      </c>
    </row>
    <row r="31" spans="1:9" x14ac:dyDescent="0.3">
      <c r="A31" s="21" t="str">
        <f>'Assumptions &amp; Inputs'!B18</f>
        <v xml:space="preserve">Rathin </v>
      </c>
      <c r="B31" t="s">
        <v>57</v>
      </c>
      <c r="C31" t="s">
        <v>43</v>
      </c>
      <c r="D31" s="36">
        <f>'Founding Cap Table'!D12</f>
        <v>3400000</v>
      </c>
      <c r="E31" s="23">
        <v>0</v>
      </c>
      <c r="F31" s="23">
        <f>D31+E31</f>
        <v>3400000</v>
      </c>
      <c r="G31" s="28">
        <f>F31/($F$36-$F$32)</f>
        <v>0.31683168316831684</v>
      </c>
      <c r="H31" s="28">
        <f>F31/$F$36</f>
        <v>0.27797649463464486</v>
      </c>
      <c r="I31" s="29" t="s">
        <v>56</v>
      </c>
    </row>
    <row r="32" spans="1:9" x14ac:dyDescent="0.3">
      <c r="A32" t="s">
        <v>44</v>
      </c>
      <c r="B32" t="s">
        <v>58</v>
      </c>
      <c r="C32" t="s">
        <v>59</v>
      </c>
      <c r="D32" s="36">
        <f>'Founding Cap Table'!E13</f>
        <v>1500000</v>
      </c>
      <c r="E32" s="23">
        <v>0</v>
      </c>
      <c r="F32" s="23">
        <f>D32+E32</f>
        <v>1500000</v>
      </c>
      <c r="G32" s="30" t="s">
        <v>60</v>
      </c>
      <c r="H32" s="28">
        <f>F32/$F$36</f>
        <v>0.12263668880940215</v>
      </c>
      <c r="I32" s="29" t="s">
        <v>95</v>
      </c>
    </row>
    <row r="33" spans="1:9" x14ac:dyDescent="0.3">
      <c r="A33" s="21" t="str">
        <f>'Assumptions &amp; Inputs'!B41</f>
        <v>Jalen Brunson</v>
      </c>
      <c r="B33" t="s">
        <v>96</v>
      </c>
      <c r="C33" s="21" t="str">
        <f>'Assumptions &amp; Inputs'!B28</f>
        <v>Series Seed Preferred</v>
      </c>
      <c r="D33" s="23">
        <v>0</v>
      </c>
      <c r="E33" s="23">
        <f>B16</f>
        <v>531250</v>
      </c>
      <c r="F33" s="23">
        <f>D33+E33</f>
        <v>531250</v>
      </c>
      <c r="G33" s="28">
        <f>F33/($F$36-$F$32)</f>
        <v>4.9504950495049507E-2</v>
      </c>
      <c r="H33" s="28">
        <f>F33/$F$36</f>
        <v>4.3433827286663257E-2</v>
      </c>
      <c r="I33" s="29" t="s">
        <v>97</v>
      </c>
    </row>
    <row r="34" spans="1:9" x14ac:dyDescent="0.3">
      <c r="A34" s="21" t="str">
        <f>'Assumptions &amp; Inputs'!B27</f>
        <v>Lebron James</v>
      </c>
      <c r="B34" t="s">
        <v>83</v>
      </c>
      <c r="C34" s="21" t="str">
        <f>'Assumptions &amp; Inputs'!B28</f>
        <v>Series Seed Preferred</v>
      </c>
      <c r="D34" s="23">
        <v>0</v>
      </c>
      <c r="E34" s="23">
        <f>B26</f>
        <v>1700000</v>
      </c>
      <c r="F34" s="23">
        <f>D34+E34</f>
        <v>1700000</v>
      </c>
      <c r="G34" s="28">
        <f>F34/($F$36-$F$32)</f>
        <v>0.15841584158415842</v>
      </c>
      <c r="H34" s="28">
        <f>F34/$F$36</f>
        <v>0.13898824731732243</v>
      </c>
    </row>
    <row r="36" spans="1:9" x14ac:dyDescent="0.3">
      <c r="A36" s="31" t="s">
        <v>45</v>
      </c>
      <c r="B36" s="32"/>
      <c r="C36" s="32"/>
      <c r="D36" s="33">
        <f>D30+D31+D32+D33+D34</f>
        <v>10000000</v>
      </c>
      <c r="E36" s="33">
        <f>E30+E31+E32+E33+E34</f>
        <v>2231250</v>
      </c>
      <c r="F36" s="33">
        <f>F30+F31+F32+F33+F34</f>
        <v>12231250</v>
      </c>
      <c r="G36" s="34">
        <f>G30+G31+G33+G34</f>
        <v>1</v>
      </c>
      <c r="H36" s="34">
        <f>H30+H31+H32+H33+H34</f>
        <v>0.99999999999999989</v>
      </c>
      <c r="I36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ADFB-2F31-4674-99E7-B73A02791F89}">
  <dimension ref="A1:I24"/>
  <sheetViews>
    <sheetView workbookViewId="0">
      <selection activeCell="B14" sqref="B14"/>
    </sheetView>
  </sheetViews>
  <sheetFormatPr defaultRowHeight="14.4" x14ac:dyDescent="0.3"/>
  <cols>
    <col min="1" max="1" width="37.77734375" bestFit="1" customWidth="1"/>
    <col min="2" max="2" width="20.21875" bestFit="1" customWidth="1"/>
    <col min="3" max="3" width="30.5546875" bestFit="1" customWidth="1"/>
    <col min="4" max="4" width="15.6640625" bestFit="1" customWidth="1"/>
    <col min="5" max="5" width="19.21875" bestFit="1" customWidth="1"/>
    <col min="6" max="7" width="18.21875" bestFit="1" customWidth="1"/>
    <col min="8" max="8" width="15.77734375" bestFit="1" customWidth="1"/>
    <col min="9" max="9" width="23.21875" bestFit="1" customWidth="1"/>
  </cols>
  <sheetData>
    <row r="1" spans="1:9" ht="17.399999999999999" x14ac:dyDescent="0.35">
      <c r="A1" s="17" t="str">
        <f>"Series A Cap Table — "&amp;'Assumptions &amp; Inputs'!B4</f>
        <v>Series A Cap Table — XYZ</v>
      </c>
      <c r="B1" s="18"/>
      <c r="C1" s="18"/>
      <c r="D1" s="18"/>
      <c r="E1" s="18"/>
      <c r="F1" s="18"/>
      <c r="G1" s="18"/>
      <c r="H1" s="18"/>
      <c r="I1" s="18"/>
    </row>
    <row r="3" spans="1:9" x14ac:dyDescent="0.3">
      <c r="A3" s="19" t="s">
        <v>98</v>
      </c>
      <c r="B3" s="20"/>
      <c r="C3" s="20"/>
    </row>
    <row r="4" spans="1:9" x14ac:dyDescent="0.3">
      <c r="A4" s="26" t="s">
        <v>63</v>
      </c>
      <c r="B4" s="26" t="s">
        <v>64</v>
      </c>
      <c r="C4" s="26" t="s">
        <v>65</v>
      </c>
    </row>
    <row r="5" spans="1:9" x14ac:dyDescent="0.3">
      <c r="A5" t="s">
        <v>99</v>
      </c>
      <c r="B5" s="21" t="str">
        <f>'Assumptions &amp; Inputs'!B34</f>
        <v>Stephen Curry</v>
      </c>
    </row>
    <row r="6" spans="1:9" x14ac:dyDescent="0.3">
      <c r="A6" t="s">
        <v>25</v>
      </c>
      <c r="B6" s="21" t="str">
        <f>'Assumptions &amp; Inputs'!B35</f>
        <v>Series A Preferred</v>
      </c>
    </row>
    <row r="7" spans="1:9" x14ac:dyDescent="0.3">
      <c r="A7" t="s">
        <v>84</v>
      </c>
      <c r="B7" s="22">
        <f>'Assumptions &amp; Inputs'!B31</f>
        <v>250000000</v>
      </c>
    </row>
    <row r="8" spans="1:9" x14ac:dyDescent="0.3">
      <c r="A8" t="s">
        <v>85</v>
      </c>
      <c r="B8" s="22">
        <f>'Assumptions &amp; Inputs'!B32</f>
        <v>50000000</v>
      </c>
    </row>
    <row r="9" spans="1:9" x14ac:dyDescent="0.3">
      <c r="A9" t="s">
        <v>86</v>
      </c>
      <c r="B9" s="22">
        <f>'Assumptions &amp; Inputs'!B33</f>
        <v>300000000</v>
      </c>
    </row>
    <row r="11" spans="1:9" x14ac:dyDescent="0.3">
      <c r="A11" t="s">
        <v>100</v>
      </c>
      <c r="B11" s="36">
        <f>'Seed Round'!F36</f>
        <v>12231250</v>
      </c>
      <c r="C11" s="37" t="s">
        <v>101</v>
      </c>
    </row>
    <row r="12" spans="1:9" x14ac:dyDescent="0.3">
      <c r="A12" s="16" t="s">
        <v>87</v>
      </c>
      <c r="B12" s="40">
        <f>'Assumptions &amp; Inputs'!B31/'Seed Round'!F36</f>
        <v>20.439448134900356</v>
      </c>
      <c r="C12" s="39" t="s">
        <v>102</v>
      </c>
    </row>
    <row r="13" spans="1:9" x14ac:dyDescent="0.3">
      <c r="A13" s="16" t="s">
        <v>103</v>
      </c>
      <c r="B13" s="41">
        <f>ROUND('Assumptions &amp; Inputs'!B32/B12,0)</f>
        <v>2446250</v>
      </c>
      <c r="C13" s="39" t="s">
        <v>104</v>
      </c>
    </row>
    <row r="15" spans="1:9" x14ac:dyDescent="0.3">
      <c r="A15" s="19" t="s">
        <v>105</v>
      </c>
      <c r="B15" s="20"/>
      <c r="C15" s="20"/>
      <c r="D15" s="20"/>
      <c r="E15" s="20"/>
      <c r="F15" s="20"/>
      <c r="G15" s="20"/>
      <c r="H15" s="20"/>
      <c r="I15" s="20"/>
    </row>
    <row r="16" spans="1:9" x14ac:dyDescent="0.3">
      <c r="A16" s="26" t="s">
        <v>40</v>
      </c>
      <c r="B16" s="26" t="s">
        <v>41</v>
      </c>
      <c r="C16" s="26" t="s">
        <v>25</v>
      </c>
      <c r="D16" s="27" t="s">
        <v>106</v>
      </c>
      <c r="E16" s="27" t="s">
        <v>107</v>
      </c>
      <c r="F16" s="27" t="s">
        <v>108</v>
      </c>
      <c r="G16" s="27" t="s">
        <v>53</v>
      </c>
      <c r="H16" s="27" t="s">
        <v>94</v>
      </c>
      <c r="I16" s="27" t="s">
        <v>42</v>
      </c>
    </row>
    <row r="17" spans="1:9" x14ac:dyDescent="0.3">
      <c r="A17" s="21" t="str">
        <f>'Assumptions &amp; Inputs'!B15</f>
        <v>Mayank</v>
      </c>
      <c r="B17" t="s">
        <v>55</v>
      </c>
      <c r="C17" t="s">
        <v>43</v>
      </c>
      <c r="D17" s="36">
        <f>'Seed Round'!F30</f>
        <v>5100000</v>
      </c>
      <c r="E17" s="23">
        <v>0</v>
      </c>
      <c r="F17" s="23">
        <f t="shared" ref="F17:F22" si="0">D17+E17</f>
        <v>5100000</v>
      </c>
      <c r="G17" s="28">
        <f>F17/($F$24-$F$19)</f>
        <v>0.38702333523050653</v>
      </c>
      <c r="H17" s="28">
        <f t="shared" ref="H17:H22" si="1">F17/$F$24</f>
        <v>0.34747061829330605</v>
      </c>
      <c r="I17" s="29" t="s">
        <v>56</v>
      </c>
    </row>
    <row r="18" spans="1:9" x14ac:dyDescent="0.3">
      <c r="A18" s="21" t="str">
        <f>'Assumptions &amp; Inputs'!B18</f>
        <v xml:space="preserve">Rathin </v>
      </c>
      <c r="B18" t="s">
        <v>57</v>
      </c>
      <c r="C18" t="s">
        <v>43</v>
      </c>
      <c r="D18" s="36">
        <f>'Seed Round'!F31</f>
        <v>3400000</v>
      </c>
      <c r="E18" s="23">
        <v>0</v>
      </c>
      <c r="F18" s="23">
        <f t="shared" si="0"/>
        <v>3400000</v>
      </c>
      <c r="G18" s="28">
        <f>F18/($F$24-$F$19)</f>
        <v>0.25801555682033772</v>
      </c>
      <c r="H18" s="28">
        <f t="shared" si="1"/>
        <v>0.23164707886220406</v>
      </c>
      <c r="I18" s="29" t="s">
        <v>56</v>
      </c>
    </row>
    <row r="19" spans="1:9" x14ac:dyDescent="0.3">
      <c r="A19" t="s">
        <v>44</v>
      </c>
      <c r="B19" t="s">
        <v>58</v>
      </c>
      <c r="C19" t="s">
        <v>59</v>
      </c>
      <c r="D19" s="36">
        <f>'Seed Round'!F32</f>
        <v>1500000</v>
      </c>
      <c r="E19" s="23">
        <v>0</v>
      </c>
      <c r="F19" s="23">
        <f t="shared" si="0"/>
        <v>1500000</v>
      </c>
      <c r="G19" s="30" t="s">
        <v>60</v>
      </c>
      <c r="H19" s="28">
        <f t="shared" si="1"/>
        <v>0.10219724067450178</v>
      </c>
      <c r="I19" s="29" t="s">
        <v>109</v>
      </c>
    </row>
    <row r="20" spans="1:9" x14ac:dyDescent="0.3">
      <c r="A20" s="21" t="str">
        <f>'Assumptions &amp; Inputs'!B41</f>
        <v>Jalen Brunson</v>
      </c>
      <c r="B20" t="s">
        <v>110</v>
      </c>
      <c r="C20" s="21" t="str">
        <f>'Assumptions &amp; Inputs'!B28</f>
        <v>Series Seed Preferred</v>
      </c>
      <c r="D20" s="36">
        <f>'Seed Round'!F33</f>
        <v>531250</v>
      </c>
      <c r="E20" s="23">
        <v>0</v>
      </c>
      <c r="F20" s="23">
        <f t="shared" si="0"/>
        <v>531250</v>
      </c>
      <c r="G20" s="28">
        <f>F20/($F$24-$F$19)</f>
        <v>4.0314930753177762E-2</v>
      </c>
      <c r="H20" s="28">
        <f t="shared" si="1"/>
        <v>3.6194856072219381E-2</v>
      </c>
    </row>
    <row r="21" spans="1:9" x14ac:dyDescent="0.3">
      <c r="A21" s="21" t="str">
        <f>'Assumptions &amp; Inputs'!B27</f>
        <v>Lebron James</v>
      </c>
      <c r="B21" t="s">
        <v>111</v>
      </c>
      <c r="C21" s="21" t="str">
        <f>'Assumptions &amp; Inputs'!B28</f>
        <v>Series Seed Preferred</v>
      </c>
      <c r="D21" s="36">
        <f>'Seed Round'!F34</f>
        <v>1700000</v>
      </c>
      <c r="E21" s="23">
        <v>0</v>
      </c>
      <c r="F21" s="23">
        <f t="shared" si="0"/>
        <v>1700000</v>
      </c>
      <c r="G21" s="28">
        <f>F21/($F$24-$F$19)</f>
        <v>0.12900777841016886</v>
      </c>
      <c r="H21" s="28">
        <f t="shared" si="1"/>
        <v>0.11582353943110203</v>
      </c>
    </row>
    <row r="22" spans="1:9" x14ac:dyDescent="0.3">
      <c r="A22" s="21" t="str">
        <f>'Assumptions &amp; Inputs'!B34</f>
        <v>Stephen Curry</v>
      </c>
      <c r="B22" t="s">
        <v>99</v>
      </c>
      <c r="C22" s="21" t="str">
        <f>'Assumptions &amp; Inputs'!B35</f>
        <v>Series A Preferred</v>
      </c>
      <c r="D22" s="23">
        <v>0</v>
      </c>
      <c r="E22" s="23">
        <f>B13</f>
        <v>2446250</v>
      </c>
      <c r="F22" s="23">
        <f t="shared" si="0"/>
        <v>2446250</v>
      </c>
      <c r="G22" s="28">
        <f>F22/($F$24-$F$19)</f>
        <v>0.18563839878580915</v>
      </c>
      <c r="H22" s="28">
        <f t="shared" si="1"/>
        <v>0.16666666666666666</v>
      </c>
    </row>
    <row r="24" spans="1:9" x14ac:dyDescent="0.3">
      <c r="A24" s="31" t="s">
        <v>45</v>
      </c>
      <c r="B24" s="32"/>
      <c r="C24" s="32"/>
      <c r="D24" s="33">
        <f>D17+D18+D19+D20+D21+D22</f>
        <v>12231250</v>
      </c>
      <c r="E24" s="33">
        <f>E17+E18+E19+E20+E21+E22</f>
        <v>2446250</v>
      </c>
      <c r="F24" s="33">
        <f>F17+F18+F19+F20+F21+F22</f>
        <v>14677500</v>
      </c>
      <c r="G24" s="34">
        <f>G17+G18+G20+G21+G22</f>
        <v>1</v>
      </c>
      <c r="H24" s="34">
        <f>H17+H18+H19+H20+H21+H22</f>
        <v>0.99999999999999989</v>
      </c>
      <c r="I24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A04E-B0D2-4499-8910-DBB2D3C41C28}">
  <dimension ref="A1:G24"/>
  <sheetViews>
    <sheetView workbookViewId="0">
      <selection activeCell="F28" sqref="F28"/>
    </sheetView>
  </sheetViews>
  <sheetFormatPr defaultRowHeight="14.4" x14ac:dyDescent="0.3"/>
  <cols>
    <col min="1" max="1" width="24.109375" customWidth="1"/>
    <col min="2" max="3" width="18.5546875" customWidth="1"/>
    <col min="4" max="5" width="20.33203125" customWidth="1"/>
    <col min="6" max="6" width="13.77734375" bestFit="1" customWidth="1"/>
    <col min="7" max="7" width="16.5546875" bestFit="1" customWidth="1"/>
  </cols>
  <sheetData>
    <row r="1" spans="1:7" ht="17.399999999999999" x14ac:dyDescent="0.35">
      <c r="A1" s="17" t="str">
        <f>"Dilution Summary — "&amp;'Assumptions &amp; Inputs'!B4</f>
        <v>Dilution Summary — XYZ</v>
      </c>
      <c r="B1" s="18"/>
      <c r="C1" s="18"/>
      <c r="D1" s="18"/>
      <c r="E1" s="18"/>
      <c r="F1" s="18"/>
      <c r="G1" s="18"/>
    </row>
    <row r="3" spans="1:7" x14ac:dyDescent="0.3">
      <c r="A3" s="19" t="s">
        <v>112</v>
      </c>
      <c r="B3" s="20"/>
      <c r="C3" s="20"/>
      <c r="D3" s="20"/>
      <c r="E3" s="20"/>
      <c r="F3" s="20"/>
      <c r="G3" s="20"/>
    </row>
    <row r="4" spans="1:7" x14ac:dyDescent="0.3">
      <c r="A4" s="26" t="s">
        <v>113</v>
      </c>
      <c r="B4" s="27" t="s">
        <v>114</v>
      </c>
      <c r="C4" s="27" t="s">
        <v>115</v>
      </c>
      <c r="D4" s="27" t="s">
        <v>116</v>
      </c>
      <c r="E4" s="27" t="s">
        <v>117</v>
      </c>
      <c r="F4" s="27" t="s">
        <v>118</v>
      </c>
      <c r="G4" s="27" t="s">
        <v>119</v>
      </c>
    </row>
    <row r="5" spans="1:7" x14ac:dyDescent="0.3">
      <c r="A5" t="s">
        <v>120</v>
      </c>
      <c r="B5" t="s">
        <v>60</v>
      </c>
      <c r="C5" t="s">
        <v>60</v>
      </c>
      <c r="D5" t="s">
        <v>60</v>
      </c>
      <c r="E5" t="s">
        <v>60</v>
      </c>
      <c r="F5" s="36">
        <f>'Founding Cap Table'!B7</f>
        <v>10000000</v>
      </c>
      <c r="G5" s="36">
        <f>'Founding Cap Table'!D15</f>
        <v>8500000</v>
      </c>
    </row>
    <row r="6" spans="1:7" x14ac:dyDescent="0.3">
      <c r="A6" t="s">
        <v>121</v>
      </c>
      <c r="B6" s="22">
        <f>'Assumptions &amp; Inputs'!B24</f>
        <v>50000000</v>
      </c>
      <c r="C6" s="22">
        <f>'Assumptions &amp; Inputs'!B25</f>
        <v>10000000</v>
      </c>
      <c r="D6" s="22">
        <f>'Assumptions &amp; Inputs'!B26</f>
        <v>60000000</v>
      </c>
      <c r="E6" s="43">
        <f>'Seed Round'!B25</f>
        <v>5.882352941176471</v>
      </c>
      <c r="F6" s="36">
        <f>'Seed Round'!F36</f>
        <v>12231250</v>
      </c>
      <c r="G6" s="36">
        <f>'Seed Round'!E36</f>
        <v>2231250</v>
      </c>
    </row>
    <row r="7" spans="1:7" x14ac:dyDescent="0.3">
      <c r="A7" t="s">
        <v>122</v>
      </c>
      <c r="B7" s="22">
        <f>'Assumptions &amp; Inputs'!B31</f>
        <v>250000000</v>
      </c>
      <c r="C7" s="22">
        <f>'Assumptions &amp; Inputs'!B32</f>
        <v>50000000</v>
      </c>
      <c r="D7" s="22">
        <f>'Assumptions &amp; Inputs'!B33</f>
        <v>300000000</v>
      </c>
      <c r="E7" s="43">
        <f>'Series A'!B12</f>
        <v>20.439448134900356</v>
      </c>
      <c r="F7" s="36">
        <f>'Series A'!F24</f>
        <v>14677500</v>
      </c>
      <c r="G7" s="36">
        <f>'Series A'!E24</f>
        <v>2446250</v>
      </c>
    </row>
    <row r="9" spans="1:7" x14ac:dyDescent="0.3">
      <c r="A9" s="19" t="s">
        <v>123</v>
      </c>
      <c r="B9" s="20"/>
      <c r="C9" s="20"/>
      <c r="D9" s="20"/>
      <c r="E9" s="20"/>
    </row>
    <row r="10" spans="1:7" x14ac:dyDescent="0.3">
      <c r="A10" s="26" t="s">
        <v>40</v>
      </c>
      <c r="B10" s="27" t="s">
        <v>124</v>
      </c>
      <c r="C10" s="27" t="s">
        <v>125</v>
      </c>
      <c r="D10" s="27" t="s">
        <v>126</v>
      </c>
      <c r="E10" s="27" t="s">
        <v>127</v>
      </c>
    </row>
    <row r="11" spans="1:7" x14ac:dyDescent="0.3">
      <c r="A11" s="21" t="str">
        <f>'Assumptions &amp; Inputs'!B15</f>
        <v>Mayank</v>
      </c>
      <c r="B11" s="44">
        <f>'Founding Cap Table'!G11</f>
        <v>0.51</v>
      </c>
      <c r="C11" s="44">
        <f>'Seed Round'!H30</f>
        <v>0.41696474195196731</v>
      </c>
      <c r="D11" s="44">
        <f>'Series A'!H17</f>
        <v>0.34747061829330605</v>
      </c>
      <c r="E11" s="28">
        <f>B11-D11</f>
        <v>0.16252938170669395</v>
      </c>
    </row>
    <row r="12" spans="1:7" x14ac:dyDescent="0.3">
      <c r="A12" s="21" t="str">
        <f>'Assumptions &amp; Inputs'!B18</f>
        <v xml:space="preserve">Rathin </v>
      </c>
      <c r="B12" s="44">
        <f>'Founding Cap Table'!G12</f>
        <v>0.34</v>
      </c>
      <c r="C12" s="44">
        <f>'Seed Round'!H31</f>
        <v>0.27797649463464486</v>
      </c>
      <c r="D12" s="44">
        <f>'Series A'!H18</f>
        <v>0.23164707886220406</v>
      </c>
      <c r="E12" s="28">
        <f>B12-D12</f>
        <v>0.10835292113779596</v>
      </c>
    </row>
    <row r="13" spans="1:7" x14ac:dyDescent="0.3">
      <c r="A13" t="s">
        <v>44</v>
      </c>
      <c r="B13" s="44">
        <f>'Founding Cap Table'!G13</f>
        <v>0.15</v>
      </c>
      <c r="C13" s="44">
        <f>'Seed Round'!H32</f>
        <v>0.12263668880940215</v>
      </c>
      <c r="D13" s="44">
        <f>'Series A'!H19</f>
        <v>0.10219724067450178</v>
      </c>
      <c r="E13" t="s">
        <v>60</v>
      </c>
    </row>
    <row r="14" spans="1:7" x14ac:dyDescent="0.3">
      <c r="A14" s="21" t="str">
        <f>'Assumptions &amp; Inputs'!B41</f>
        <v>Jalen Brunson</v>
      </c>
      <c r="B14" t="s">
        <v>60</v>
      </c>
      <c r="C14" s="44">
        <f>'Seed Round'!H33</f>
        <v>4.3433827286663257E-2</v>
      </c>
      <c r="D14" s="44">
        <f>'Series A'!H20</f>
        <v>3.6194856072219381E-2</v>
      </c>
      <c r="E14" t="s">
        <v>60</v>
      </c>
    </row>
    <row r="15" spans="1:7" x14ac:dyDescent="0.3">
      <c r="A15" s="21" t="str">
        <f>'Assumptions &amp; Inputs'!B27</f>
        <v>Lebron James</v>
      </c>
      <c r="B15" t="s">
        <v>60</v>
      </c>
      <c r="C15" s="44">
        <f>'Seed Round'!H34</f>
        <v>0.13898824731732243</v>
      </c>
      <c r="D15" s="44">
        <f>'Series A'!H21</f>
        <v>0.11582353943110203</v>
      </c>
      <c r="E15" t="s">
        <v>60</v>
      </c>
    </row>
    <row r="16" spans="1:7" x14ac:dyDescent="0.3">
      <c r="A16" s="21" t="str">
        <f>'Assumptions &amp; Inputs'!B34</f>
        <v>Stephen Curry</v>
      </c>
      <c r="B16" t="s">
        <v>60</v>
      </c>
      <c r="C16" t="s">
        <v>60</v>
      </c>
      <c r="D16" s="44">
        <f>'Series A'!H22</f>
        <v>0.16666666666666666</v>
      </c>
      <c r="E16" t="s">
        <v>60</v>
      </c>
    </row>
    <row r="18" spans="1:7" x14ac:dyDescent="0.3">
      <c r="A18" s="31" t="s">
        <v>45</v>
      </c>
      <c r="B18" s="34">
        <f>B11+B12+B13</f>
        <v>1</v>
      </c>
      <c r="C18" s="34">
        <f>C11+C12+C13+C14+C15</f>
        <v>0.99999999999999989</v>
      </c>
      <c r="D18" s="34">
        <f>D11+D12+D13+D14+D15+D16</f>
        <v>0.99999999999999989</v>
      </c>
      <c r="E18" s="32"/>
    </row>
    <row r="20" spans="1:7" x14ac:dyDescent="0.3">
      <c r="A20" s="37"/>
    </row>
    <row r="21" spans="1:7" x14ac:dyDescent="0.3">
      <c r="B21" s="26" t="str">
        <f>'Assumptions &amp; Inputs'!B15</f>
        <v>Mayank</v>
      </c>
      <c r="C21" s="26" t="str">
        <f>'Assumptions &amp; Inputs'!B18</f>
        <v xml:space="preserve">Rathin </v>
      </c>
      <c r="D21" s="26" t="s">
        <v>44</v>
      </c>
      <c r="E21" s="26" t="str">
        <f>'Assumptions &amp; Inputs'!B41</f>
        <v>Jalen Brunson</v>
      </c>
      <c r="F21" s="26" t="str">
        <f>'Assumptions &amp; Inputs'!B27</f>
        <v>Lebron James</v>
      </c>
      <c r="G21" s="26" t="str">
        <f>'Assumptions &amp; Inputs'!B34</f>
        <v>Stephen Curry</v>
      </c>
    </row>
    <row r="22" spans="1:7" x14ac:dyDescent="0.3">
      <c r="A22" t="s">
        <v>124</v>
      </c>
      <c r="B22" s="28">
        <f>B11</f>
        <v>0.51</v>
      </c>
      <c r="C22" s="28">
        <f>B12</f>
        <v>0.34</v>
      </c>
      <c r="D22" s="28">
        <f>B13</f>
        <v>0.15</v>
      </c>
      <c r="E22" s="28">
        <v>0</v>
      </c>
      <c r="F22" s="28">
        <v>0</v>
      </c>
      <c r="G22" s="28">
        <v>0</v>
      </c>
    </row>
    <row r="23" spans="1:7" x14ac:dyDescent="0.3">
      <c r="A23" t="s">
        <v>125</v>
      </c>
      <c r="B23" s="28">
        <f>C11</f>
        <v>0.41696474195196731</v>
      </c>
      <c r="C23" s="28">
        <f>C12</f>
        <v>0.27797649463464486</v>
      </c>
      <c r="D23" s="28">
        <f>C13</f>
        <v>0.12263668880940215</v>
      </c>
      <c r="E23" s="28">
        <f>C14</f>
        <v>4.3433827286663257E-2</v>
      </c>
      <c r="F23" s="28">
        <f>C15</f>
        <v>0.13898824731732243</v>
      </c>
      <c r="G23" s="28">
        <v>0</v>
      </c>
    </row>
    <row r="24" spans="1:7" x14ac:dyDescent="0.3">
      <c r="A24" t="s">
        <v>126</v>
      </c>
      <c r="B24" s="28">
        <f>D11</f>
        <v>0.34747061829330605</v>
      </c>
      <c r="C24" s="28">
        <f>D12</f>
        <v>0.23164707886220406</v>
      </c>
      <c r="D24" s="28">
        <f>D13</f>
        <v>0.10219724067450178</v>
      </c>
      <c r="E24" s="28">
        <f>D14</f>
        <v>3.6194856072219381E-2</v>
      </c>
      <c r="F24" s="28">
        <f>D15</f>
        <v>0.11582353943110203</v>
      </c>
      <c r="G24" s="28">
        <f>D16</f>
        <v>0.16666666666666666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3D20-4C30-4A97-B9CA-6CB95E8F99CF}">
  <dimension ref="A1:D16"/>
  <sheetViews>
    <sheetView workbookViewId="0">
      <selection activeCell="J26" sqref="J26"/>
    </sheetView>
  </sheetViews>
  <sheetFormatPr defaultRowHeight="14.4" x14ac:dyDescent="0.3"/>
  <sheetData>
    <row r="1" spans="1:4" x14ac:dyDescent="0.3">
      <c r="A1" s="47" t="s">
        <v>128</v>
      </c>
      <c r="B1" s="48"/>
      <c r="C1" s="48"/>
      <c r="D1" s="48"/>
    </row>
    <row r="2" spans="1:4" x14ac:dyDescent="0.3">
      <c r="A2" s="48"/>
      <c r="B2" s="48"/>
      <c r="C2" s="48"/>
      <c r="D2" s="48"/>
    </row>
    <row r="15" spans="1:4" x14ac:dyDescent="0.3">
      <c r="A15" s="49" t="s">
        <v>129</v>
      </c>
      <c r="B15" s="49"/>
      <c r="C15" s="49"/>
      <c r="D15" s="49"/>
    </row>
    <row r="16" spans="1:4" x14ac:dyDescent="0.3">
      <c r="A16" s="49"/>
      <c r="B16" s="49"/>
      <c r="C16" s="49"/>
      <c r="D16" s="49"/>
    </row>
  </sheetData>
  <mergeCells count="2">
    <mergeCell ref="A1:D2"/>
    <mergeCell ref="A15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 &amp; Inputs</vt:lpstr>
      <vt:lpstr>Founding Cap Table</vt:lpstr>
      <vt:lpstr>Seed Round</vt:lpstr>
      <vt:lpstr>Series A</vt:lpstr>
      <vt:lpstr>Dilution Summary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Bharali</dc:creator>
  <cp:lastModifiedBy>Mayank Bharali</cp:lastModifiedBy>
  <dcterms:created xsi:type="dcterms:W3CDTF">2026-06-15T11:27:58Z</dcterms:created>
  <dcterms:modified xsi:type="dcterms:W3CDTF">2026-06-18T17:23:27Z</dcterms:modified>
</cp:coreProperties>
</file>